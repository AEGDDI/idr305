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udhimolde-my.sharepoint.com/personal/aldi_himolde_no/Documents/Dokumenter/Teaching/Introduction to Economics for Sport Management (IDR305)/Exam/Grading/"/>
    </mc:Choice>
  </mc:AlternateContent>
  <xr:revisionPtr revIDLastSave="2456" documentId="11_F25DC773A252ABDACC104817B1DA496E5ADE5909" xr6:coauthVersionLast="45" xr6:coauthVersionMax="45" xr10:uidLastSave="{F118FBEE-F7D2-494E-82B3-BA7474C70221}"/>
  <bookViews>
    <workbookView xWindow="-110" yWindow="-110" windowWidth="19420" windowHeight="10540" xr2:uid="{00000000-000D-0000-FFFF-FFFF00000000}"/>
  </bookViews>
  <sheets>
    <sheet name="TABLE" sheetId="1" r:id="rId1"/>
    <sheet name="Sheet3" sheetId="15" r:id="rId2"/>
    <sheet name="Questions_grades" sheetId="10" r:id="rId3"/>
    <sheet name="CORR" sheetId="12" r:id="rId4"/>
    <sheet name="GRADES" sheetId="9" r:id="rId5"/>
    <sheet name="BELL CURVE" sheetId="8" r:id="rId6"/>
    <sheet name="COUNT" sheetId="3" r:id="rId7"/>
    <sheet name="AVG" sheetId="4" r:id="rId8"/>
  </sheets>
  <definedNames>
    <definedName name="_xlnm._FilterDatabase" localSheetId="3" hidden="1">CORR!$A$1:$K$20</definedName>
    <definedName name="_xlnm._FilterDatabase" localSheetId="1" hidden="1">Sheet3!$A$1:$K$20</definedName>
    <definedName name="_xlnm._FilterDatabase" localSheetId="0" hidden="1">TABLE!$A$1:$U$194</definedName>
    <definedName name="_xlchart.v1.0" hidden="1">GRADES!$B$1:$B$32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8" l="1"/>
  <c r="B1" i="8"/>
  <c r="C8" i="8" s="1"/>
  <c r="C149" i="8" l="1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6" i="8"/>
  <c r="C148" i="8"/>
  <c r="C140" i="8"/>
  <c r="C132" i="8"/>
  <c r="C124" i="8"/>
  <c r="C116" i="8"/>
  <c r="C108" i="8"/>
  <c r="C100" i="8"/>
  <c r="C92" i="8"/>
  <c r="C84" i="8"/>
  <c r="C76" i="8"/>
  <c r="C68" i="8"/>
  <c r="C60" i="8"/>
  <c r="C52" i="8"/>
  <c r="C44" i="8"/>
  <c r="C36" i="8"/>
  <c r="C28" i="8"/>
  <c r="C20" i="8"/>
  <c r="C12" i="8"/>
  <c r="C151" i="8"/>
  <c r="C143" i="8"/>
  <c r="C135" i="8"/>
  <c r="C127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C150" i="8"/>
  <c r="C134" i="8"/>
  <c r="C118" i="8"/>
  <c r="C102" i="8"/>
  <c r="C86" i="8"/>
  <c r="C62" i="8"/>
  <c r="C38" i="8"/>
  <c r="C14" i="8"/>
  <c r="C115" i="8"/>
  <c r="C43" i="8"/>
  <c r="C146" i="8"/>
  <c r="C130" i="8"/>
  <c r="C114" i="8"/>
  <c r="C98" i="8"/>
  <c r="C82" i="8"/>
  <c r="C66" i="8"/>
  <c r="C50" i="8"/>
  <c r="C34" i="8"/>
  <c r="C18" i="8"/>
  <c r="C10" i="8"/>
  <c r="C153" i="8"/>
  <c r="C145" i="8"/>
  <c r="C137" i="8"/>
  <c r="C129" i="8"/>
  <c r="C121" i="8"/>
  <c r="C113" i="8"/>
  <c r="C105" i="8"/>
  <c r="C97" i="8"/>
  <c r="C89" i="8"/>
  <c r="C81" i="8"/>
  <c r="C73" i="8"/>
  <c r="C65" i="8"/>
  <c r="C57" i="8"/>
  <c r="C49" i="8"/>
  <c r="C41" i="8"/>
  <c r="C33" i="8"/>
  <c r="C25" i="8"/>
  <c r="C17" i="8"/>
  <c r="C9" i="8"/>
  <c r="C142" i="8"/>
  <c r="C126" i="8"/>
  <c r="C110" i="8"/>
  <c r="C94" i="8"/>
  <c r="C78" i="8"/>
  <c r="C70" i="8"/>
  <c r="C54" i="8"/>
  <c r="C46" i="8"/>
  <c r="C30" i="8"/>
  <c r="C22" i="8"/>
  <c r="I27" i="8"/>
  <c r="C155" i="8"/>
  <c r="C147" i="8"/>
  <c r="C139" i="8"/>
  <c r="C131" i="8"/>
  <c r="C123" i="8"/>
  <c r="C107" i="8"/>
  <c r="C99" i="8"/>
  <c r="C91" i="8"/>
  <c r="C83" i="8"/>
  <c r="C75" i="8"/>
  <c r="C67" i="8"/>
  <c r="C59" i="8"/>
  <c r="C51" i="8"/>
  <c r="C35" i="8"/>
  <c r="C27" i="8"/>
  <c r="C19" i="8"/>
  <c r="C11" i="8"/>
  <c r="C154" i="8"/>
  <c r="C138" i="8"/>
  <c r="C122" i="8"/>
  <c r="C106" i="8"/>
  <c r="C90" i="8"/>
  <c r="C74" i="8"/>
  <c r="C58" i="8"/>
  <c r="C42" i="8"/>
  <c r="C26" i="8"/>
  <c r="C152" i="8"/>
  <c r="C144" i="8"/>
  <c r="C136" i="8"/>
  <c r="C128" i="8"/>
  <c r="C120" i="8"/>
  <c r="C112" i="8"/>
  <c r="C104" i="8"/>
  <c r="C96" i="8"/>
  <c r="C88" i="8"/>
  <c r="C80" i="8"/>
  <c r="C72" i="8"/>
  <c r="C64" i="8"/>
  <c r="C56" i="8"/>
  <c r="C48" i="8"/>
  <c r="C40" i="8"/>
  <c r="C32" i="8"/>
  <c r="C24" i="8"/>
  <c r="C16" i="8"/>
  <c r="I30" i="8" l="1"/>
  <c r="I24" i="8"/>
  <c r="I29" i="8"/>
  <c r="I25" i="8"/>
  <c r="I28" i="8"/>
  <c r="I26" i="8"/>
  <c r="C3" i="8"/>
  <c r="B3" i="8"/>
  <c r="U188" i="1" a="1"/>
  <c r="U188" i="1" s="1"/>
  <c r="T3" i="1"/>
  <c r="U3" i="1" s="1" a="1"/>
  <c r="U3" i="1" s="1"/>
  <c r="T4" i="1"/>
  <c r="U4" i="1" s="1" a="1"/>
  <c r="U4" i="1" s="1"/>
  <c r="T5" i="1"/>
  <c r="U5" i="1" s="1" a="1"/>
  <c r="U5" i="1" s="1"/>
  <c r="T6" i="1"/>
  <c r="U6" i="1" s="1" a="1"/>
  <c r="U6" i="1" s="1"/>
  <c r="T7" i="1"/>
  <c r="U7" i="1" s="1" a="1"/>
  <c r="U7" i="1" s="1"/>
  <c r="T9" i="1"/>
  <c r="U9" i="1" s="1" a="1"/>
  <c r="U9" i="1" s="1"/>
  <c r="T10" i="1"/>
  <c r="U10" i="1" s="1" a="1"/>
  <c r="U10" i="1" s="1"/>
  <c r="T11" i="1"/>
  <c r="U11" i="1" s="1" a="1"/>
  <c r="U11" i="1" s="1"/>
  <c r="T12" i="1"/>
  <c r="U12" i="1" s="1" a="1"/>
  <c r="U12" i="1" s="1"/>
  <c r="T13" i="1"/>
  <c r="U13" i="1" s="1" a="1"/>
  <c r="U13" i="1" s="1"/>
  <c r="T15" i="1"/>
  <c r="U15" i="1" s="1" a="1"/>
  <c r="U15" i="1" s="1"/>
  <c r="T16" i="1"/>
  <c r="U16" i="1" s="1" a="1"/>
  <c r="U16" i="1" s="1"/>
  <c r="T17" i="1"/>
  <c r="U17" i="1" s="1" a="1"/>
  <c r="U17" i="1" s="1"/>
  <c r="T18" i="1"/>
  <c r="U18" i="1" s="1" a="1"/>
  <c r="U18" i="1" s="1"/>
  <c r="T19" i="1"/>
  <c r="U19" i="1" s="1" a="1"/>
  <c r="U19" i="1" s="1"/>
  <c r="T21" i="1"/>
  <c r="U21" i="1" s="1" a="1"/>
  <c r="U21" i="1" s="1"/>
  <c r="T22" i="1"/>
  <c r="U22" i="1" s="1" a="1"/>
  <c r="U22" i="1" s="1"/>
  <c r="T23" i="1"/>
  <c r="U23" i="1" s="1" a="1"/>
  <c r="U23" i="1" s="1"/>
  <c r="T24" i="1"/>
  <c r="U24" i="1" s="1" a="1"/>
  <c r="U24" i="1" s="1"/>
  <c r="T25" i="1"/>
  <c r="U25" i="1" s="1" a="1"/>
  <c r="U25" i="1" s="1"/>
  <c r="T27" i="1"/>
  <c r="U27" i="1" s="1" a="1"/>
  <c r="U27" i="1" s="1"/>
  <c r="T28" i="1"/>
  <c r="U28" i="1" s="1" a="1"/>
  <c r="U28" i="1" s="1"/>
  <c r="T29" i="1"/>
  <c r="U29" i="1" s="1" a="1"/>
  <c r="U29" i="1" s="1"/>
  <c r="T30" i="1"/>
  <c r="U30" i="1" s="1" a="1"/>
  <c r="U30" i="1" s="1"/>
  <c r="T31" i="1"/>
  <c r="U31" i="1" s="1" a="1"/>
  <c r="U31" i="1" s="1"/>
  <c r="T33" i="1"/>
  <c r="U33" i="1" s="1" a="1"/>
  <c r="U33" i="1" s="1"/>
  <c r="T34" i="1"/>
  <c r="U34" i="1" s="1" a="1"/>
  <c r="U34" i="1" s="1"/>
  <c r="T35" i="1"/>
  <c r="U35" i="1" s="1" a="1"/>
  <c r="U35" i="1" s="1"/>
  <c r="T36" i="1"/>
  <c r="U36" i="1" s="1" a="1"/>
  <c r="U36" i="1" s="1"/>
  <c r="T37" i="1"/>
  <c r="U37" i="1" s="1" a="1"/>
  <c r="U37" i="1" s="1"/>
  <c r="T39" i="1"/>
  <c r="U39" i="1" s="1" a="1"/>
  <c r="U39" i="1" s="1"/>
  <c r="T40" i="1"/>
  <c r="U40" i="1" s="1" a="1"/>
  <c r="U40" i="1" s="1"/>
  <c r="T41" i="1"/>
  <c r="U41" i="1" s="1" a="1"/>
  <c r="U41" i="1" s="1"/>
  <c r="T42" i="1"/>
  <c r="U42" i="1" s="1" a="1"/>
  <c r="U42" i="1" s="1"/>
  <c r="T43" i="1"/>
  <c r="U43" i="1" s="1" a="1"/>
  <c r="U43" i="1" s="1"/>
  <c r="T45" i="1"/>
  <c r="U45" i="1" s="1" a="1"/>
  <c r="U45" i="1" s="1"/>
  <c r="T46" i="1"/>
  <c r="U46" i="1" s="1" a="1"/>
  <c r="U46" i="1" s="1"/>
  <c r="T47" i="1"/>
  <c r="U47" i="1" s="1" a="1"/>
  <c r="U47" i="1" s="1"/>
  <c r="T48" i="1"/>
  <c r="U48" i="1" s="1" a="1"/>
  <c r="U48" i="1" s="1"/>
  <c r="T49" i="1"/>
  <c r="U49" i="1" s="1" a="1"/>
  <c r="U49" i="1" s="1"/>
  <c r="T51" i="1"/>
  <c r="U51" i="1" s="1" a="1"/>
  <c r="U51" i="1" s="1"/>
  <c r="T52" i="1"/>
  <c r="U52" i="1" s="1" a="1"/>
  <c r="U52" i="1" s="1"/>
  <c r="T53" i="1"/>
  <c r="U53" i="1" s="1" a="1"/>
  <c r="U53" i="1" s="1"/>
  <c r="T54" i="1"/>
  <c r="U54" i="1" s="1" a="1"/>
  <c r="U54" i="1" s="1"/>
  <c r="T55" i="1"/>
  <c r="U55" i="1" s="1" a="1"/>
  <c r="U55" i="1" s="1"/>
  <c r="T57" i="1"/>
  <c r="U57" i="1" s="1" a="1"/>
  <c r="U57" i="1" s="1"/>
  <c r="T58" i="1"/>
  <c r="U58" i="1" s="1" a="1"/>
  <c r="U58" i="1" s="1"/>
  <c r="T59" i="1"/>
  <c r="U59" i="1" s="1" a="1"/>
  <c r="U59" i="1" s="1"/>
  <c r="T60" i="1"/>
  <c r="U60" i="1" s="1" a="1"/>
  <c r="U60" i="1" s="1"/>
  <c r="T61" i="1"/>
  <c r="U61" i="1" s="1" a="1"/>
  <c r="U61" i="1" s="1"/>
  <c r="T63" i="1"/>
  <c r="U63" i="1" s="1" a="1"/>
  <c r="U63" i="1" s="1"/>
  <c r="T64" i="1"/>
  <c r="U64" i="1" s="1" a="1"/>
  <c r="U64" i="1" s="1"/>
  <c r="T65" i="1"/>
  <c r="U65" i="1" s="1" a="1"/>
  <c r="U65" i="1" s="1"/>
  <c r="T66" i="1"/>
  <c r="U66" i="1" s="1" a="1"/>
  <c r="U66" i="1" s="1"/>
  <c r="T67" i="1"/>
  <c r="U67" i="1" s="1" a="1"/>
  <c r="U67" i="1" s="1"/>
  <c r="T69" i="1"/>
  <c r="U69" i="1" s="1" a="1"/>
  <c r="U69" i="1" s="1"/>
  <c r="T70" i="1"/>
  <c r="U70" i="1" s="1" a="1"/>
  <c r="U70" i="1" s="1"/>
  <c r="T71" i="1"/>
  <c r="U71" i="1" s="1" a="1"/>
  <c r="U71" i="1" s="1"/>
  <c r="T72" i="1"/>
  <c r="U72" i="1" s="1" a="1"/>
  <c r="U72" i="1" s="1"/>
  <c r="T73" i="1"/>
  <c r="U73" i="1" s="1" a="1"/>
  <c r="U73" i="1" s="1"/>
  <c r="T75" i="1"/>
  <c r="U75" i="1" s="1" a="1"/>
  <c r="U75" i="1" s="1"/>
  <c r="T76" i="1"/>
  <c r="U76" i="1" s="1" a="1"/>
  <c r="U76" i="1" s="1"/>
  <c r="T77" i="1"/>
  <c r="U77" i="1" s="1" a="1"/>
  <c r="U77" i="1" s="1"/>
  <c r="T78" i="1"/>
  <c r="U78" i="1" s="1" a="1"/>
  <c r="U78" i="1" s="1"/>
  <c r="T79" i="1"/>
  <c r="U79" i="1" s="1" a="1"/>
  <c r="U79" i="1" s="1"/>
  <c r="T81" i="1"/>
  <c r="U81" i="1" s="1" a="1"/>
  <c r="U81" i="1" s="1"/>
  <c r="T82" i="1"/>
  <c r="U82" i="1" s="1" a="1"/>
  <c r="U82" i="1" s="1"/>
  <c r="T83" i="1"/>
  <c r="U83" i="1" s="1" a="1"/>
  <c r="U83" i="1" s="1"/>
  <c r="T84" i="1"/>
  <c r="U84" i="1" s="1" a="1"/>
  <c r="U84" i="1" s="1"/>
  <c r="T85" i="1"/>
  <c r="U85" i="1" s="1" a="1"/>
  <c r="U85" i="1" s="1"/>
  <c r="T87" i="1"/>
  <c r="U87" i="1" s="1" a="1"/>
  <c r="U87" i="1" s="1"/>
  <c r="T88" i="1"/>
  <c r="U88" i="1" s="1" a="1"/>
  <c r="U88" i="1" s="1"/>
  <c r="T89" i="1"/>
  <c r="U89" i="1" s="1" a="1"/>
  <c r="U89" i="1" s="1"/>
  <c r="T90" i="1"/>
  <c r="U90" i="1" s="1" a="1"/>
  <c r="U90" i="1" s="1"/>
  <c r="T91" i="1"/>
  <c r="U91" i="1" s="1" a="1"/>
  <c r="U91" i="1" s="1"/>
  <c r="T93" i="1"/>
  <c r="U93" i="1" s="1" a="1"/>
  <c r="U93" i="1" s="1"/>
  <c r="T94" i="1"/>
  <c r="U94" i="1" s="1" a="1"/>
  <c r="U94" i="1" s="1"/>
  <c r="T95" i="1"/>
  <c r="U95" i="1" s="1" a="1"/>
  <c r="U95" i="1" s="1"/>
  <c r="T96" i="1"/>
  <c r="U96" i="1" s="1" a="1"/>
  <c r="U96" i="1" s="1"/>
  <c r="T97" i="1"/>
  <c r="U97" i="1" s="1" a="1"/>
  <c r="U97" i="1" s="1"/>
  <c r="T99" i="1"/>
  <c r="U99" i="1" s="1" a="1"/>
  <c r="U99" i="1" s="1"/>
  <c r="T100" i="1"/>
  <c r="U100" i="1" s="1" a="1"/>
  <c r="U100" i="1" s="1"/>
  <c r="T101" i="1"/>
  <c r="U101" i="1" s="1" a="1"/>
  <c r="U101" i="1" s="1"/>
  <c r="T102" i="1"/>
  <c r="U102" i="1" s="1" a="1"/>
  <c r="U102" i="1" s="1"/>
  <c r="T103" i="1"/>
  <c r="U103" i="1" s="1" a="1"/>
  <c r="U103" i="1" s="1"/>
  <c r="T105" i="1"/>
  <c r="U105" i="1" s="1" a="1"/>
  <c r="U105" i="1" s="1"/>
  <c r="T106" i="1"/>
  <c r="U106" i="1" s="1" a="1"/>
  <c r="U106" i="1" s="1"/>
  <c r="T107" i="1"/>
  <c r="U107" i="1" s="1" a="1"/>
  <c r="U107" i="1" s="1"/>
  <c r="T108" i="1"/>
  <c r="U108" i="1" s="1" a="1"/>
  <c r="U108" i="1" s="1"/>
  <c r="T109" i="1"/>
  <c r="U109" i="1" s="1" a="1"/>
  <c r="U109" i="1" s="1"/>
  <c r="T111" i="1"/>
  <c r="U111" i="1" s="1" a="1"/>
  <c r="U111" i="1" s="1"/>
  <c r="T112" i="1"/>
  <c r="U112" i="1" s="1" a="1"/>
  <c r="U112" i="1" s="1"/>
  <c r="T113" i="1"/>
  <c r="U113" i="1" s="1" a="1"/>
  <c r="U113" i="1" s="1"/>
  <c r="T114" i="1"/>
  <c r="U114" i="1" s="1" a="1"/>
  <c r="U114" i="1" s="1"/>
  <c r="T115" i="1"/>
  <c r="U115" i="1" s="1" a="1"/>
  <c r="U115" i="1" s="1"/>
  <c r="T117" i="1"/>
  <c r="U117" i="1" s="1" a="1"/>
  <c r="U117" i="1" s="1"/>
  <c r="T118" i="1"/>
  <c r="U118" i="1" s="1" a="1"/>
  <c r="U118" i="1" s="1"/>
  <c r="T119" i="1"/>
  <c r="U119" i="1" s="1" a="1"/>
  <c r="U119" i="1" s="1"/>
  <c r="T120" i="1"/>
  <c r="U120" i="1" s="1" a="1"/>
  <c r="U120" i="1" s="1"/>
  <c r="T121" i="1"/>
  <c r="U121" i="1" s="1" a="1"/>
  <c r="U121" i="1" s="1"/>
  <c r="T123" i="1"/>
  <c r="U123" i="1" s="1" a="1"/>
  <c r="U123" i="1" s="1"/>
  <c r="T124" i="1"/>
  <c r="U124" i="1" s="1" a="1"/>
  <c r="U124" i="1" s="1"/>
  <c r="T125" i="1"/>
  <c r="U125" i="1" s="1" a="1"/>
  <c r="U125" i="1" s="1"/>
  <c r="T126" i="1"/>
  <c r="U126" i="1" s="1" a="1"/>
  <c r="U126" i="1" s="1"/>
  <c r="T127" i="1"/>
  <c r="U127" i="1" s="1" a="1"/>
  <c r="U127" i="1" s="1"/>
  <c r="T129" i="1"/>
  <c r="U129" i="1" s="1" a="1"/>
  <c r="U129" i="1" s="1"/>
  <c r="T130" i="1"/>
  <c r="U130" i="1" s="1" a="1"/>
  <c r="U130" i="1" s="1"/>
  <c r="T131" i="1"/>
  <c r="U131" i="1" s="1" a="1"/>
  <c r="U131" i="1" s="1"/>
  <c r="T132" i="1"/>
  <c r="U132" i="1" s="1" a="1"/>
  <c r="U132" i="1" s="1"/>
  <c r="T133" i="1"/>
  <c r="U133" i="1" s="1" a="1"/>
  <c r="U133" i="1" s="1"/>
  <c r="T135" i="1"/>
  <c r="U135" i="1" s="1" a="1"/>
  <c r="U135" i="1" s="1"/>
  <c r="T136" i="1"/>
  <c r="U136" i="1" s="1" a="1"/>
  <c r="U136" i="1" s="1"/>
  <c r="T137" i="1"/>
  <c r="U137" i="1" s="1" a="1"/>
  <c r="U137" i="1" s="1"/>
  <c r="T138" i="1"/>
  <c r="U138" i="1" s="1" a="1"/>
  <c r="U138" i="1" s="1"/>
  <c r="T139" i="1"/>
  <c r="U139" i="1" s="1" a="1"/>
  <c r="U139" i="1" s="1"/>
  <c r="T141" i="1"/>
  <c r="U141" i="1" s="1" a="1"/>
  <c r="U141" i="1" s="1"/>
  <c r="T142" i="1"/>
  <c r="U142" i="1" s="1" a="1"/>
  <c r="U142" i="1" s="1"/>
  <c r="T143" i="1"/>
  <c r="U143" i="1" s="1" a="1"/>
  <c r="U143" i="1" s="1"/>
  <c r="T144" i="1"/>
  <c r="U144" i="1" s="1" a="1"/>
  <c r="U144" i="1" s="1"/>
  <c r="T145" i="1"/>
  <c r="U145" i="1" s="1" a="1"/>
  <c r="U145" i="1" s="1"/>
  <c r="T147" i="1"/>
  <c r="U147" i="1" s="1" a="1"/>
  <c r="U147" i="1" s="1"/>
  <c r="T148" i="1"/>
  <c r="U148" i="1" s="1" a="1"/>
  <c r="U148" i="1" s="1"/>
  <c r="T149" i="1"/>
  <c r="U149" i="1" s="1" a="1"/>
  <c r="U149" i="1" s="1"/>
  <c r="T150" i="1"/>
  <c r="U150" i="1" s="1" a="1"/>
  <c r="U150" i="1" s="1"/>
  <c r="T151" i="1"/>
  <c r="U151" i="1" s="1" a="1"/>
  <c r="U151" i="1" s="1"/>
  <c r="T153" i="1"/>
  <c r="U153" i="1" s="1" a="1"/>
  <c r="U153" i="1" s="1"/>
  <c r="T154" i="1"/>
  <c r="U154" i="1" s="1" a="1"/>
  <c r="U154" i="1" s="1"/>
  <c r="T155" i="1"/>
  <c r="U155" i="1" s="1" a="1"/>
  <c r="U155" i="1" s="1"/>
  <c r="T156" i="1"/>
  <c r="U156" i="1" s="1" a="1"/>
  <c r="U156" i="1" s="1"/>
  <c r="T157" i="1"/>
  <c r="U157" i="1" s="1" a="1"/>
  <c r="U157" i="1" s="1"/>
  <c r="T159" i="1"/>
  <c r="U159" i="1" s="1" a="1"/>
  <c r="U159" i="1" s="1"/>
  <c r="T160" i="1"/>
  <c r="U160" i="1" s="1" a="1"/>
  <c r="U160" i="1" s="1"/>
  <c r="T161" i="1"/>
  <c r="U161" i="1" s="1" a="1"/>
  <c r="U161" i="1" s="1"/>
  <c r="T162" i="1"/>
  <c r="U162" i="1" s="1" a="1"/>
  <c r="U162" i="1" s="1"/>
  <c r="T163" i="1"/>
  <c r="U163" i="1" s="1" a="1"/>
  <c r="U163" i="1" s="1"/>
  <c r="T165" i="1"/>
  <c r="U165" i="1" s="1" a="1"/>
  <c r="U165" i="1" s="1"/>
  <c r="T166" i="1"/>
  <c r="U166" i="1" s="1" a="1"/>
  <c r="U166" i="1" s="1"/>
  <c r="T167" i="1"/>
  <c r="U167" i="1" s="1" a="1"/>
  <c r="U167" i="1" s="1"/>
  <c r="T168" i="1"/>
  <c r="U168" i="1" s="1" a="1"/>
  <c r="U168" i="1" s="1"/>
  <c r="T169" i="1"/>
  <c r="U169" i="1" s="1" a="1"/>
  <c r="U169" i="1" s="1"/>
  <c r="T171" i="1"/>
  <c r="U171" i="1" s="1" a="1"/>
  <c r="U171" i="1" s="1"/>
  <c r="T172" i="1"/>
  <c r="U172" i="1" s="1" a="1"/>
  <c r="U172" i="1" s="1"/>
  <c r="T173" i="1"/>
  <c r="U173" i="1" s="1" a="1"/>
  <c r="U173" i="1" s="1"/>
  <c r="T174" i="1"/>
  <c r="U174" i="1" s="1" a="1"/>
  <c r="U174" i="1" s="1"/>
  <c r="T175" i="1"/>
  <c r="U175" i="1" s="1" a="1"/>
  <c r="U175" i="1" s="1"/>
  <c r="T177" i="1"/>
  <c r="U177" i="1" s="1" a="1"/>
  <c r="U177" i="1" s="1"/>
  <c r="T178" i="1"/>
  <c r="U178" i="1" s="1" a="1"/>
  <c r="U178" i="1" s="1"/>
  <c r="T179" i="1"/>
  <c r="U179" i="1" s="1" a="1"/>
  <c r="U179" i="1" s="1"/>
  <c r="T180" i="1"/>
  <c r="U180" i="1" s="1" a="1"/>
  <c r="U180" i="1" s="1"/>
  <c r="T181" i="1"/>
  <c r="U181" i="1" s="1" a="1"/>
  <c r="U181" i="1" s="1"/>
  <c r="T183" i="1"/>
  <c r="U183" i="1" s="1" a="1"/>
  <c r="U183" i="1" s="1"/>
  <c r="T184" i="1"/>
  <c r="U184" i="1" s="1" a="1"/>
  <c r="U184" i="1" s="1"/>
  <c r="T185" i="1"/>
  <c r="U185" i="1" s="1" a="1"/>
  <c r="U185" i="1" s="1"/>
  <c r="T186" i="1"/>
  <c r="U186" i="1" s="1" a="1"/>
  <c r="U186" i="1" s="1"/>
  <c r="T187" i="1"/>
  <c r="U187" i="1" s="1" a="1"/>
  <c r="U187" i="1" s="1"/>
  <c r="T190" i="1"/>
  <c r="U190" i="1" s="1" a="1"/>
  <c r="U190" i="1" s="1"/>
  <c r="T191" i="1"/>
  <c r="U191" i="1" s="1" a="1"/>
  <c r="U191" i="1" s="1"/>
  <c r="T192" i="1"/>
  <c r="U192" i="1" s="1" a="1"/>
  <c r="U192" i="1" s="1"/>
  <c r="T193" i="1"/>
  <c r="U193" i="1" s="1" a="1"/>
  <c r="U193" i="1" s="1"/>
  <c r="T194" i="1"/>
  <c r="U194" i="1" s="1" a="1"/>
  <c r="U194" i="1" s="1"/>
  <c r="S38" i="1" l="1"/>
  <c r="Q38" i="1"/>
  <c r="O38" i="1"/>
  <c r="S189" i="1"/>
  <c r="Q189" i="1"/>
  <c r="O189" i="1"/>
  <c r="M189" i="1"/>
  <c r="K189" i="1"/>
  <c r="I189" i="1"/>
  <c r="S182" i="1"/>
  <c r="S176" i="1"/>
  <c r="S170" i="1"/>
  <c r="S164" i="1"/>
  <c r="S158" i="1"/>
  <c r="S152" i="1"/>
  <c r="S146" i="1"/>
  <c r="S140" i="1"/>
  <c r="S134" i="1"/>
  <c r="S128" i="1"/>
  <c r="S116" i="1"/>
  <c r="S122" i="1"/>
  <c r="S110" i="1"/>
  <c r="S104" i="1"/>
  <c r="S98" i="1"/>
  <c r="S92" i="1"/>
  <c r="S86" i="1"/>
  <c r="S68" i="1"/>
  <c r="S74" i="1"/>
  <c r="S80" i="1"/>
  <c r="S56" i="1"/>
  <c r="S62" i="1"/>
  <c r="S50" i="1" l="1"/>
  <c r="S44" i="1"/>
  <c r="S32" i="1"/>
  <c r="S26" i="1"/>
  <c r="S20" i="1"/>
  <c r="S14" i="1"/>
  <c r="S8" i="1"/>
  <c r="S2" i="1"/>
  <c r="Q182" i="1"/>
  <c r="O182" i="1"/>
  <c r="Q176" i="1"/>
  <c r="Q170" i="1"/>
  <c r="Q164" i="1"/>
  <c r="O164" i="1"/>
  <c r="M164" i="1"/>
  <c r="K164" i="1"/>
  <c r="I164" i="1"/>
  <c r="Q158" i="1"/>
  <c r="Q152" i="1"/>
  <c r="Q146" i="1"/>
  <c r="Q140" i="1"/>
  <c r="Q134" i="1"/>
  <c r="O134" i="1"/>
  <c r="Q128" i="1"/>
  <c r="Q122" i="1"/>
  <c r="O122" i="1"/>
  <c r="Q116" i="1"/>
  <c r="Q110" i="1"/>
  <c r="Q104" i="1"/>
  <c r="Q98" i="1"/>
  <c r="Q92" i="1"/>
  <c r="Q86" i="1"/>
  <c r="Q80" i="1"/>
  <c r="Q74" i="1"/>
  <c r="Q68" i="1"/>
  <c r="Q62" i="1"/>
  <c r="Q56" i="1"/>
  <c r="Q50" i="1"/>
  <c r="Q44" i="1"/>
  <c r="Q32" i="1"/>
  <c r="Q26" i="1"/>
  <c r="Q20" i="1"/>
  <c r="O20" i="1"/>
  <c r="Q14" i="1"/>
  <c r="Q8" i="1"/>
  <c r="Q2" i="1"/>
  <c r="O176" i="1"/>
  <c r="O170" i="1"/>
  <c r="O158" i="1"/>
  <c r="O152" i="1"/>
  <c r="O146" i="1"/>
  <c r="O140" i="1"/>
  <c r="O128" i="1"/>
  <c r="O116" i="1"/>
  <c r="O110" i="1"/>
  <c r="O104" i="1"/>
  <c r="O98" i="1"/>
  <c r="O92" i="1"/>
  <c r="O86" i="1"/>
  <c r="O80" i="1"/>
  <c r="O74" i="1"/>
  <c r="O68" i="1"/>
  <c r="O62" i="1"/>
  <c r="O56" i="1" l="1"/>
  <c r="M56" i="1"/>
  <c r="K56" i="1"/>
  <c r="I56" i="1"/>
  <c r="O50" i="1"/>
  <c r="O44" i="1"/>
  <c r="O32" i="1"/>
  <c r="O26" i="1"/>
  <c r="O14" i="1"/>
  <c r="O2" i="1"/>
  <c r="M182" i="1"/>
  <c r="M176" i="1"/>
  <c r="M170" i="1"/>
  <c r="M158" i="1"/>
  <c r="M152" i="1"/>
  <c r="M146" i="1"/>
  <c r="M140" i="1"/>
  <c r="M134" i="1"/>
  <c r="M128" i="1"/>
  <c r="M122" i="1"/>
  <c r="M116" i="1"/>
  <c r="M110" i="1"/>
  <c r="M104" i="1"/>
  <c r="M98" i="1"/>
  <c r="M92" i="1"/>
  <c r="M86" i="1"/>
  <c r="M80" i="1"/>
  <c r="M74" i="1"/>
  <c r="M68" i="1"/>
  <c r="M62" i="1"/>
  <c r="M50" i="1"/>
  <c r="M44" i="1"/>
  <c r="M38" i="1"/>
  <c r="M32" i="1"/>
  <c r="M26" i="1"/>
  <c r="M20" i="1"/>
  <c r="M14" i="1"/>
  <c r="M8" i="1"/>
  <c r="M2" i="1"/>
  <c r="K182" i="1"/>
  <c r="K176" i="1"/>
  <c r="K152" i="1"/>
  <c r="K158" i="1"/>
  <c r="K170" i="1"/>
  <c r="K146" i="1"/>
  <c r="K140" i="1"/>
  <c r="K134" i="1"/>
  <c r="K128" i="1"/>
  <c r="K98" i="1"/>
  <c r="K122" i="1"/>
  <c r="K116" i="1"/>
  <c r="K110" i="1"/>
  <c r="K104" i="1"/>
  <c r="K92" i="1"/>
  <c r="K86" i="1"/>
  <c r="K80" i="1"/>
  <c r="K68" i="1"/>
  <c r="I68" i="1"/>
  <c r="K74" i="1"/>
  <c r="K62" i="1"/>
  <c r="K50" i="1"/>
  <c r="K44" i="1"/>
  <c r="K38" i="1"/>
  <c r="K32" i="1"/>
  <c r="K26" i="1"/>
  <c r="K20" i="1"/>
  <c r="K14" i="1"/>
  <c r="K8" i="1"/>
  <c r="K2" i="1"/>
  <c r="I176" i="1"/>
  <c r="I182" i="1"/>
  <c r="I170" i="1"/>
  <c r="I158" i="1"/>
  <c r="I152" i="1"/>
  <c r="I146" i="1"/>
  <c r="I140" i="1"/>
  <c r="I134" i="1"/>
  <c r="I128" i="1"/>
  <c r="I122" i="1"/>
  <c r="I116" i="1"/>
  <c r="I110" i="1"/>
  <c r="I104" i="1"/>
  <c r="I98" i="1"/>
  <c r="I92" i="1"/>
  <c r="I86" i="1"/>
  <c r="I80" i="1"/>
  <c r="I74" i="1"/>
  <c r="I62" i="1"/>
  <c r="I50" i="1"/>
  <c r="I44" i="1"/>
  <c r="I38" i="1"/>
  <c r="G38" i="1"/>
  <c r="I32" i="1"/>
  <c r="I8" i="1"/>
  <c r="I14" i="1"/>
  <c r="I20" i="1"/>
  <c r="I26" i="1"/>
  <c r="I2" i="1"/>
  <c r="G189" i="1" l="1"/>
  <c r="G182" i="1"/>
  <c r="E182" i="1"/>
  <c r="G176" i="1"/>
  <c r="G170" i="1"/>
  <c r="G164" i="1"/>
  <c r="E164" i="1"/>
  <c r="G158" i="1"/>
  <c r="G152" i="1"/>
  <c r="G146" i="1"/>
  <c r="G140" i="1"/>
  <c r="G134" i="1"/>
  <c r="G128" i="1"/>
  <c r="G122" i="1"/>
  <c r="G116" i="1"/>
  <c r="G110" i="1"/>
  <c r="G104" i="1"/>
  <c r="G98" i="1"/>
  <c r="G92" i="1"/>
  <c r="G86" i="1"/>
  <c r="G80" i="1"/>
  <c r="G74" i="1"/>
  <c r="G68" i="1"/>
  <c r="G62" i="1"/>
  <c r="G56" i="1"/>
  <c r="G50" i="1"/>
  <c r="E50" i="1"/>
  <c r="G44" i="1"/>
  <c r="G32" i="1"/>
  <c r="G26" i="1"/>
  <c r="G20" i="1"/>
  <c r="G14" i="1"/>
  <c r="G8" i="1"/>
  <c r="G2" i="1"/>
  <c r="E189" i="1"/>
  <c r="E176" i="1"/>
  <c r="E170" i="1"/>
  <c r="E158" i="1"/>
  <c r="E152" i="1"/>
  <c r="E146" i="1"/>
  <c r="E140" i="1"/>
  <c r="E134" i="1"/>
  <c r="C134" i="1"/>
  <c r="E128" i="1"/>
  <c r="E122" i="1"/>
  <c r="E116" i="1"/>
  <c r="E110" i="1"/>
  <c r="E104" i="1"/>
  <c r="C104" i="1"/>
  <c r="E98" i="1"/>
  <c r="E92" i="1"/>
  <c r="E86" i="1"/>
  <c r="E80" i="1"/>
  <c r="E74" i="1"/>
  <c r="E68" i="1"/>
  <c r="E62" i="1"/>
  <c r="E56" i="1"/>
  <c r="C50" i="1"/>
  <c r="E44" i="1"/>
  <c r="E38" i="1"/>
  <c r="C38" i="1"/>
  <c r="E32" i="1"/>
  <c r="E26" i="1"/>
  <c r="E20" i="1"/>
  <c r="E14" i="1"/>
  <c r="E8" i="1"/>
  <c r="E2" i="1"/>
  <c r="C189" i="1"/>
  <c r="C176" i="1"/>
  <c r="C170" i="1"/>
  <c r="T170" i="1" s="1"/>
  <c r="U170" i="1" s="1"/>
  <c r="C164" i="1"/>
  <c r="C158" i="1"/>
  <c r="C152" i="1"/>
  <c r="C146" i="1"/>
  <c r="C140" i="1"/>
  <c r="C128" i="1"/>
  <c r="C122" i="1"/>
  <c r="C116" i="1"/>
  <c r="C110" i="1"/>
  <c r="C98" i="1"/>
  <c r="C92" i="1"/>
  <c r="C86" i="1"/>
  <c r="C80" i="1"/>
  <c r="C74" i="1"/>
  <c r="C68" i="1"/>
  <c r="C62" i="1"/>
  <c r="C56" i="1"/>
  <c r="C44" i="1"/>
  <c r="T44" i="1" s="1"/>
  <c r="U44" i="1" s="1"/>
  <c r="C32" i="1"/>
  <c r="C26" i="1"/>
  <c r="C20" i="1"/>
  <c r="C14" i="1"/>
  <c r="C8" i="1"/>
  <c r="C2" i="1"/>
  <c r="C188" i="1"/>
  <c r="C182" i="1"/>
  <c r="T50" i="1" l="1"/>
  <c r="U50" i="1" s="1"/>
  <c r="T98" i="1"/>
  <c r="U98" i="1" s="1"/>
  <c r="T158" i="1"/>
  <c r="U158" i="1" s="1"/>
  <c r="T182" i="1"/>
  <c r="U182" i="1" s="1"/>
  <c r="T2" i="1"/>
  <c r="U2" i="1" s="1"/>
  <c r="T128" i="1"/>
  <c r="U128" i="1" s="1"/>
  <c r="T80" i="1"/>
  <c r="U80" i="1" s="1"/>
  <c r="T56" i="1"/>
  <c r="U56" i="1" s="1"/>
  <c r="T116" i="1"/>
  <c r="U116" i="1" s="1"/>
  <c r="T8" i="1"/>
  <c r="U8" i="1" s="1"/>
  <c r="T68" i="1"/>
  <c r="U68" i="1" s="1"/>
  <c r="T176" i="1"/>
  <c r="U176" i="1" s="1"/>
  <c r="T189" i="1"/>
  <c r="U189" i="1" s="1"/>
  <c r="T140" i="1"/>
  <c r="U140" i="1" s="1"/>
  <c r="T86" i="1"/>
  <c r="U86" i="1" s="1"/>
  <c r="T164" i="1"/>
  <c r="U164" i="1" s="1"/>
  <c r="T122" i="1"/>
  <c r="U122" i="1" s="1"/>
  <c r="T38" i="1"/>
  <c r="U38" i="1" s="1"/>
  <c r="T74" i="1"/>
  <c r="U74" i="1" s="1"/>
  <c r="T134" i="1"/>
  <c r="U134" i="1" s="1"/>
  <c r="T26" i="1"/>
  <c r="U26" i="1" s="1"/>
  <c r="T110" i="1"/>
  <c r="U110" i="1" s="1"/>
  <c r="T62" i="1"/>
  <c r="U62" i="1" s="1"/>
  <c r="T14" i="1"/>
  <c r="U14" i="1" s="1"/>
  <c r="T20" i="1"/>
  <c r="U20" i="1" s="1"/>
  <c r="T146" i="1"/>
  <c r="U146" i="1" s="1"/>
  <c r="T32" i="1"/>
  <c r="U32" i="1" s="1"/>
  <c r="T92" i="1"/>
  <c r="U92" i="1" s="1"/>
  <c r="T152" i="1"/>
  <c r="U152" i="1" s="1"/>
  <c r="T104" i="1"/>
  <c r="U10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<sst xmlns="http://schemas.openxmlformats.org/spreadsheetml/2006/main" count="205" uniqueCount="44">
  <si>
    <t>Student Number</t>
  </si>
  <si>
    <t>Q1 (8,3,4,5)</t>
  </si>
  <si>
    <t>Q7</t>
  </si>
  <si>
    <t>Q8</t>
  </si>
  <si>
    <t>Q9</t>
  </si>
  <si>
    <t>TOT</t>
  </si>
  <si>
    <t>GRADE</t>
  </si>
  <si>
    <t>Q1 (SUM)</t>
  </si>
  <si>
    <t>Q2 (SUM)</t>
  </si>
  <si>
    <t>Q2 (4,8,3,3,2)</t>
  </si>
  <si>
    <t>Q3(10,2,2,2,2,2)</t>
  </si>
  <si>
    <t>Q3 (SUM)</t>
  </si>
  <si>
    <t>Q4(5,3,2)</t>
  </si>
  <si>
    <t>Q4 (SUM)</t>
  </si>
  <si>
    <t>Q5(SUM)</t>
  </si>
  <si>
    <t>Q5(6,4)</t>
  </si>
  <si>
    <t>Q6(SUM)</t>
  </si>
  <si>
    <t>Q8(SUM)</t>
  </si>
  <si>
    <t>Q7(SUM)</t>
  </si>
  <si>
    <t>Q9(SUM)</t>
  </si>
  <si>
    <t>Q6 (5)</t>
  </si>
  <si>
    <t>Row Labels</t>
  </si>
  <si>
    <t>Grand Total</t>
  </si>
  <si>
    <t>A</t>
  </si>
  <si>
    <t>B</t>
  </si>
  <si>
    <t>C</t>
  </si>
  <si>
    <t>D</t>
  </si>
  <si>
    <t>E</t>
  </si>
  <si>
    <t>F</t>
  </si>
  <si>
    <t>Count of TOT</t>
  </si>
  <si>
    <t>absent</t>
  </si>
  <si>
    <t>null</t>
  </si>
  <si>
    <t>Average of TOT</t>
  </si>
  <si>
    <t>AVG</t>
  </si>
  <si>
    <t>STD</t>
  </si>
  <si>
    <t>X-Value</t>
  </si>
  <si>
    <t>Y-Value</t>
  </si>
  <si>
    <t>3 std below</t>
  </si>
  <si>
    <t xml:space="preserve">2 std below </t>
  </si>
  <si>
    <t>1 std below</t>
  </si>
  <si>
    <t>mean</t>
  </si>
  <si>
    <t>1 std above</t>
  </si>
  <si>
    <t>2 std above</t>
  </si>
  <si>
    <t>3 std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</si>
</sst>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 vertical="top"/>
    </xf>
    <xf numFmtId="0" fontId="0" fillId="2" borderId="0" xfId="0" applyFill="1"/>
    <xf numFmtId="0" fontId="0" fillId="0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Grades</a:t>
            </a:r>
            <a:r>
              <a:rPr lang="en-US" baseline="0"/>
              <a:t> Normal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5314960629922"/>
          <c:y val="0.17837962962962964"/>
          <c:w val="0.85222462817147859"/>
          <c:h val="0.70959135316418775"/>
        </c:manualLayout>
      </c:layout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'BELL CURVE'!$B$6:$B$155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'BELL CURVE'!$C$6:$C$155</c:f>
              <c:numCache>
                <c:formatCode>General</c:formatCode>
                <c:ptCount val="150"/>
                <c:pt idx="0">
                  <c:v>2.3064048355653355E-4</c:v>
                </c:pt>
                <c:pt idx="1">
                  <c:v>2.635187736583194E-4</c:v>
                </c:pt>
                <c:pt idx="2">
                  <c:v>3.0046250169949308E-4</c:v>
                </c:pt>
                <c:pt idx="3">
                  <c:v>3.4187842494133271E-4</c:v>
                </c:pt>
                <c:pt idx="4">
                  <c:v>3.8820024697430256E-4</c:v>
                </c:pt>
                <c:pt idx="5">
                  <c:v>4.3988850933909129E-4</c:v>
                </c:pt>
                <c:pt idx="6">
                  <c:v>4.9743017313283271E-4</c:v>
                </c:pt>
                <c:pt idx="7">
                  <c:v>5.6133785416005082E-4</c:v>
                </c:pt>
                <c:pt idx="8">
                  <c:v>6.3214867562545025E-4</c:v>
                </c:pt>
                <c:pt idx="9">
                  <c:v>7.1042270349343684E-4</c:v>
                </c:pt>
                <c:pt idx="10">
                  <c:v>7.9674093152584267E-4</c:v>
                </c:pt>
                <c:pt idx="11">
                  <c:v>8.9170278571579123E-4</c:v>
                </c:pt>
                <c:pt idx="12">
                  <c:v>9.9592312141289743E-4</c:v>
                </c:pt>
                <c:pt idx="13">
                  <c:v>1.1100286909213419E-3</c:v>
                </c:pt>
                <c:pt idx="14">
                  <c:v>1.2346540647709828E-3</c:v>
                </c:pt>
                <c:pt idx="15">
                  <c:v>1.3704369962182108E-3</c:v>
                </c:pt>
                <c:pt idx="16">
                  <c:v>1.5180132258136594E-3</c:v>
                </c:pt>
                <c:pt idx="17">
                  <c:v>1.6780107310422098E-3</c:v>
                </c:pt>
                <c:pt idx="18">
                  <c:v>1.8510434350378618E-3</c:v>
                </c:pt>
                <c:pt idx="19">
                  <c:v>2.0377043981178516E-3</c:v>
                </c:pt>
                <c:pt idx="20">
                  <c:v>2.2385585262578939E-3</c:v>
                </c:pt>
                <c:pt idx="21">
                  <c:v>2.4541348415085484E-3</c:v>
                </c:pt>
                <c:pt idx="22">
                  <c:v>2.6849183705717965E-3</c:v>
                </c:pt>
                <c:pt idx="23">
                  <c:v>2.9313417191333085E-3</c:v>
                </c:pt>
                <c:pt idx="24">
                  <c:v>3.1937764108739696E-3</c:v>
                </c:pt>
                <c:pt idx="25">
                  <c:v>3.472524081139398E-3</c:v>
                </c:pt>
                <c:pt idx="26">
                  <c:v>3.7678076257880292E-3</c:v>
                </c:pt>
                <c:pt idx="27">
                  <c:v>4.0797624155147396E-3</c:v>
                </c:pt>
                <c:pt idx="28">
                  <c:v>4.4084276946996619E-3</c:v>
                </c:pt>
                <c:pt idx="29">
                  <c:v>4.7537382913009612E-3</c:v>
                </c:pt>
                <c:pt idx="30">
                  <c:v>5.1155167702412003E-3</c:v>
                </c:pt>
                <c:pt idx="31">
                  <c:v>5.4934661668863153E-3</c:v>
                </c:pt>
                <c:pt idx="32">
                  <c:v>5.8871634393587152E-3</c:v>
                </c:pt>
                <c:pt idx="33">
                  <c:v>6.2960537783612758E-3</c:v>
                </c:pt>
                <c:pt idx="34">
                  <c:v>6.7194459107480274E-3</c:v>
                </c:pt>
                <c:pt idx="35">
                  <c:v>7.1565085281292589E-3</c:v>
                </c:pt>
                <c:pt idx="36">
                  <c:v>7.6062679642562303E-3</c:v>
                </c:pt>
                <c:pt idx="37">
                  <c:v>8.0676072347557991E-3</c:v>
                </c:pt>
                <c:pt idx="38">
                  <c:v>8.5392665399931823E-3</c:v>
                </c:pt>
                <c:pt idx="39">
                  <c:v>9.019845316503872E-3</c:v>
                </c:pt>
                <c:pt idx="40">
                  <c:v>9.5078059046841898E-3</c:v>
                </c:pt>
                <c:pt idx="41">
                  <c:v>1.0001478880454124E-2</c:v>
                </c:pt>
                <c:pt idx="42">
                  <c:v>1.0499070076655157E-2</c:v>
                </c:pt>
                <c:pt idx="43">
                  <c:v>1.0998669296324698E-2</c:v>
                </c:pt>
                <c:pt idx="44">
                  <c:v>1.1498260695055275E-2</c:v>
                </c:pt>
                <c:pt idx="45">
                  <c:v>1.199573478380591E-2</c:v>
                </c:pt>
                <c:pt idx="46">
                  <c:v>1.2488901977229528E-2</c:v>
                </c:pt>
                <c:pt idx="47">
                  <c:v>1.2975507586291136E-2</c:v>
                </c:pt>
                <c:pt idx="48">
                  <c:v>1.3453248128175525E-2</c:v>
                </c:pt>
                <c:pt idx="49">
                  <c:v>1.3919788801731831E-2</c:v>
                </c:pt>
                <c:pt idx="50">
                  <c:v>1.4372781953486536E-2</c:v>
                </c:pt>
                <c:pt idx="51">
                  <c:v>1.4809886338076823E-2</c:v>
                </c:pt>
                <c:pt idx="52">
                  <c:v>1.5228786958289546E-2</c:v>
                </c:pt>
                <c:pt idx="53">
                  <c:v>1.5627215254179316E-2</c:v>
                </c:pt>
                <c:pt idx="54">
                  <c:v>1.600296939837725E-2</c:v>
                </c:pt>
                <c:pt idx="55">
                  <c:v>1.6353934446028333E-2</c:v>
                </c:pt>
                <c:pt idx="56">
                  <c:v>1.6678102083080553E-2</c:v>
                </c:pt>
                <c:pt idx="57">
                  <c:v>1.6973589716089945E-2</c:v>
                </c:pt>
                <c:pt idx="58">
                  <c:v>1.7238658650416291E-2</c:v>
                </c:pt>
                <c:pt idx="59">
                  <c:v>1.7471731111693589E-2</c:v>
                </c:pt>
                <c:pt idx="60">
                  <c:v>1.7671405877706711E-2</c:v>
                </c:pt>
                <c:pt idx="61">
                  <c:v>1.7836472304141201E-2</c:v>
                </c:pt>
                <c:pt idx="62">
                  <c:v>1.7965922547860197E-2</c:v>
                </c:pt>
                <c:pt idx="63">
                  <c:v>1.8058961815079169E-2</c:v>
                </c:pt>
                <c:pt idx="64">
                  <c:v>1.8115016488658535E-2</c:v>
                </c:pt>
                <c:pt idx="65">
                  <c:v>1.8133740018246941E-2</c:v>
                </c:pt>
                <c:pt idx="66">
                  <c:v>1.8115016488658535E-2</c:v>
                </c:pt>
                <c:pt idx="67">
                  <c:v>1.8058961815079169E-2</c:v>
                </c:pt>
                <c:pt idx="68">
                  <c:v>1.7965922547860197E-2</c:v>
                </c:pt>
                <c:pt idx="69">
                  <c:v>1.7836472304141201E-2</c:v>
                </c:pt>
                <c:pt idx="70">
                  <c:v>1.7671405877706711E-2</c:v>
                </c:pt>
                <c:pt idx="71">
                  <c:v>1.7471731111693589E-2</c:v>
                </c:pt>
                <c:pt idx="72">
                  <c:v>1.7238658650416291E-2</c:v>
                </c:pt>
                <c:pt idx="73">
                  <c:v>1.6973589716089945E-2</c:v>
                </c:pt>
                <c:pt idx="74">
                  <c:v>1.6678102083080553E-2</c:v>
                </c:pt>
                <c:pt idx="75">
                  <c:v>1.6353934446028333E-2</c:v>
                </c:pt>
                <c:pt idx="76">
                  <c:v>1.600296939837725E-2</c:v>
                </c:pt>
                <c:pt idx="77">
                  <c:v>1.5627215254179316E-2</c:v>
                </c:pt>
                <c:pt idx="78">
                  <c:v>1.5228786958289546E-2</c:v>
                </c:pt>
                <c:pt idx="79">
                  <c:v>1.4809886338076823E-2</c:v>
                </c:pt>
                <c:pt idx="80">
                  <c:v>1.4372781953486536E-2</c:v>
                </c:pt>
                <c:pt idx="81">
                  <c:v>1.3919788801731831E-2</c:v>
                </c:pt>
                <c:pt idx="82">
                  <c:v>1.3453248128175525E-2</c:v>
                </c:pt>
                <c:pt idx="83">
                  <c:v>1.2975507586291136E-2</c:v>
                </c:pt>
                <c:pt idx="84">
                  <c:v>1.2488901977229528E-2</c:v>
                </c:pt>
                <c:pt idx="85">
                  <c:v>1.199573478380591E-2</c:v>
                </c:pt>
                <c:pt idx="86">
                  <c:v>1.1498260695055275E-2</c:v>
                </c:pt>
                <c:pt idx="87">
                  <c:v>1.0998669296324698E-2</c:v>
                </c:pt>
                <c:pt idx="88">
                  <c:v>1.0499070076655157E-2</c:v>
                </c:pt>
                <c:pt idx="89">
                  <c:v>1.0001478880454124E-2</c:v>
                </c:pt>
                <c:pt idx="90">
                  <c:v>9.5078059046841898E-3</c:v>
                </c:pt>
                <c:pt idx="91">
                  <c:v>9.019845316503872E-3</c:v>
                </c:pt>
                <c:pt idx="92">
                  <c:v>8.5392665399931823E-3</c:v>
                </c:pt>
                <c:pt idx="93">
                  <c:v>8.0676072347557991E-3</c:v>
                </c:pt>
                <c:pt idx="94">
                  <c:v>7.6062679642562303E-3</c:v>
                </c:pt>
                <c:pt idx="95">
                  <c:v>7.1565085281292589E-3</c:v>
                </c:pt>
                <c:pt idx="96">
                  <c:v>6.7194459107480274E-3</c:v>
                </c:pt>
                <c:pt idx="97">
                  <c:v>6.2960537783612758E-3</c:v>
                </c:pt>
                <c:pt idx="98">
                  <c:v>5.8871634393587152E-3</c:v>
                </c:pt>
                <c:pt idx="99">
                  <c:v>5.4934661668863153E-3</c:v>
                </c:pt>
                <c:pt idx="100">
                  <c:v>5.1155167702412003E-3</c:v>
                </c:pt>
                <c:pt idx="101">
                  <c:v>4.7537382913009612E-3</c:v>
                </c:pt>
                <c:pt idx="102">
                  <c:v>4.4084276946996619E-3</c:v>
                </c:pt>
                <c:pt idx="103">
                  <c:v>4.0797624155147396E-3</c:v>
                </c:pt>
                <c:pt idx="104">
                  <c:v>3.7678076257880292E-3</c:v>
                </c:pt>
                <c:pt idx="105">
                  <c:v>3.472524081139398E-3</c:v>
                </c:pt>
                <c:pt idx="106">
                  <c:v>3.1937764108739696E-3</c:v>
                </c:pt>
                <c:pt idx="107">
                  <c:v>2.9313417191333085E-3</c:v>
                </c:pt>
                <c:pt idx="108">
                  <c:v>2.6849183705717965E-3</c:v>
                </c:pt>
                <c:pt idx="109">
                  <c:v>2.4541348415085484E-3</c:v>
                </c:pt>
                <c:pt idx="110">
                  <c:v>2.2385585262578939E-3</c:v>
                </c:pt>
                <c:pt idx="111">
                  <c:v>2.0377043981178516E-3</c:v>
                </c:pt>
                <c:pt idx="112">
                  <c:v>1.8510434350378618E-3</c:v>
                </c:pt>
                <c:pt idx="113">
                  <c:v>1.6780107310422098E-3</c:v>
                </c:pt>
                <c:pt idx="114">
                  <c:v>1.5180132258136594E-3</c:v>
                </c:pt>
                <c:pt idx="115">
                  <c:v>1.3704369962182108E-3</c:v>
                </c:pt>
                <c:pt idx="116">
                  <c:v>1.2346540647709828E-3</c:v>
                </c:pt>
                <c:pt idx="117">
                  <c:v>1.1100286909213419E-3</c:v>
                </c:pt>
                <c:pt idx="118">
                  <c:v>9.9592312141289743E-4</c:v>
                </c:pt>
                <c:pt idx="119">
                  <c:v>8.9170278571579123E-4</c:v>
                </c:pt>
                <c:pt idx="120">
                  <c:v>7.9674093152584267E-4</c:v>
                </c:pt>
                <c:pt idx="121">
                  <c:v>7.1042270349343684E-4</c:v>
                </c:pt>
                <c:pt idx="122">
                  <c:v>6.3214867562545025E-4</c:v>
                </c:pt>
                <c:pt idx="123">
                  <c:v>5.6133785416005082E-4</c:v>
                </c:pt>
                <c:pt idx="124">
                  <c:v>4.9743017313283271E-4</c:v>
                </c:pt>
                <c:pt idx="125">
                  <c:v>4.3988850933909129E-4</c:v>
                </c:pt>
                <c:pt idx="126">
                  <c:v>3.8820024697430256E-4</c:v>
                </c:pt>
                <c:pt idx="127">
                  <c:v>3.4187842494133271E-4</c:v>
                </c:pt>
                <c:pt idx="128">
                  <c:v>3.0046250169949308E-4</c:v>
                </c:pt>
                <c:pt idx="129">
                  <c:v>2.635187736583194E-4</c:v>
                </c:pt>
                <c:pt idx="130">
                  <c:v>2.3064048355653355E-4</c:v>
                </c:pt>
                <c:pt idx="131">
                  <c:v>2.0144765508809127E-4</c:v>
                </c:pt>
                <c:pt idx="132">
                  <c:v>1.75586689319543E-4</c:v>
                </c:pt>
                <c:pt idx="133">
                  <c:v>1.5272975726437259E-4</c:v>
                </c:pt>
                <c:pt idx="134">
                  <c:v>1.32574021417957E-4</c:v>
                </c:pt>
                <c:pt idx="135">
                  <c:v>1.1484071718654247E-4</c:v>
                </c:pt>
                <c:pt idx="136">
                  <c:v>9.9274123036796719E-5</c:v>
                </c:pt>
                <c:pt idx="137">
                  <c:v>8.5640445916082352E-5</c:v>
                </c:pt>
                <c:pt idx="138">
                  <c:v>7.3726646109166839E-5</c:v>
                </c:pt>
                <c:pt idx="139">
                  <c:v>6.3339223260158202E-5</c:v>
                </c:pt>
                <c:pt idx="140">
                  <c:v>5.4302982848162255E-5</c:v>
                </c:pt>
                <c:pt idx="141">
                  <c:v>4.6459800004007684E-5</c:v>
                </c:pt>
                <c:pt idx="142">
                  <c:v>3.9667395229352736E-5</c:v>
                </c:pt>
                <c:pt idx="143">
                  <c:v>3.3798134358081875E-5</c:v>
                </c:pt>
                <c:pt idx="144">
                  <c:v>2.8737863006495882E-5</c:v>
                </c:pt>
                <c:pt idx="145">
                  <c:v>2.4384783810995172E-5</c:v>
                </c:pt>
                <c:pt idx="146">
                  <c:v>2.06483829620384E-5</c:v>
                </c:pt>
                <c:pt idx="147">
                  <c:v>1.7448410918611227E-5</c:v>
                </c:pt>
                <c:pt idx="148">
                  <c:v>1.4713920731497936E-5</c:v>
                </c:pt>
                <c:pt idx="149">
                  <c:v>1.238236611585789E-5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11-4343-83ED-C7FB233C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822048"/>
        <c:axId val="524821392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solidFill>
                  <a:schemeClr val="accent2">
                    <a:lumMod val="75000"/>
                  </a:schemeClr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911-4343-83ED-C7FB233C78E3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2">
                    <a:lumMod val="75000"/>
                  </a:schemeClr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911-4343-83ED-C7FB233C78E3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2">
                    <a:lumMod val="75000"/>
                  </a:schemeClr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911-4343-83ED-C7FB233C78E3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accent2">
                    <a:lumMod val="75000"/>
                  </a:schemeClr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11-4343-83ED-C7FB233C78E3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accent2">
                    <a:lumMod val="75000"/>
                  </a:schemeClr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11-4343-83ED-C7FB233C78E3}"/>
              </c:ext>
            </c:extLst>
          </c:dPt>
          <c:dLbls>
            <c:dLbl>
              <c:idx val="1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11-4343-83ED-C7FB233C78E3}"/>
                </c:ext>
              </c:extLst>
            </c:dLbl>
            <c:dLbl>
              <c:idx val="2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11-4343-83ED-C7FB233C78E3}"/>
                </c:ext>
              </c:extLst>
            </c:dLbl>
            <c:dLbl>
              <c:idx val="3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11-4343-83ED-C7FB233C78E3}"/>
                </c:ext>
              </c:extLst>
            </c:dLbl>
            <c:dLbl>
              <c:idx val="4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11-4343-83ED-C7FB233C78E3}"/>
                </c:ext>
              </c:extLst>
            </c:dLbl>
            <c:dLbl>
              <c:idx val="5"/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11-4343-83ED-C7FB233C7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'BELL CURVE'!$I$24:$I$30</c:f>
              <c:numCache>
                <c:formatCode>General</c:formatCode>
                <c:ptCount val="7"/>
                <c:pt idx="0">
                  <c:v>0</c:v>
                </c:pt>
                <c:pt idx="1">
                  <c:v>22</c:v>
                </c:pt>
                <c:pt idx="2">
                  <c:v>44</c:v>
                </c:pt>
                <c:pt idx="3">
                  <c:v>66</c:v>
                </c:pt>
                <c:pt idx="4">
                  <c:v>88</c:v>
                </c:pt>
                <c:pt idx="5">
                  <c:v>110</c:v>
                </c:pt>
                <c:pt idx="6">
                  <c:v>132</c:v>
                </c:pt>
              </c:numCache>
            </c:numRef>
          </c:xVal>
          <c:yVal>
            <c:numRef>
              <c:f>'BELL CURVE'!$J$24:$J$30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11-4343-83ED-C7FB233C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822048"/>
        <c:axId val="524821392"/>
      </c:scatterChart>
      <c:valAx>
        <c:axId val="524822048"/>
        <c:scaling>
          <c:orientation val="minMax"/>
          <c:max val="125"/>
          <c:min val="1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21392"/>
        <c:crosses val="autoZero"/>
        <c:crossBetween val="midCat"/>
      </c:valAx>
      <c:valAx>
        <c:axId val="5248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2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'TOT'</cx:v>
        </cx:txData>
      </cx:tx>
    </cx:title>
    <cx:plotArea>
      <cx:plotAreaRegion>
        <cx:series layoutId="clusteredColumn" uniqueId="{FE35F8F6-DA5E-436A-B1E1-4101EBA1D7B3}">
          <cx:dataLabels/>
          <cx:dataId val="0"/>
          <cx:layoutPr>
            <cx:binning intervalClosed="r" underflow="39" overflow="95">
              <cx:binSize val="1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517525</xdr:colOff>
      <xdr:row>3</xdr:row>
      <xdr:rowOff>98425</xdr:rowOff>
    </xdr:from>
    <xdr:to>
      <xdr:col>13</xdr:col>
      <xdr:colOff>212725</xdr:colOff>
      <xdr:row>18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13677-2795-41B9-BD9E-17F2F17B9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0.49931</cdr:x>
      <cdr:y>0.23958</cdr:y>
    </cdr:from>
    <cdr:to>
      <cdr:x>0.49931</cdr:x>
      <cdr:y>0.88542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E7732F60-2519-40F2-87B1-8DEA6BA64C11}"/>
            </a:ext>
          </a:extLst>
        </cdr:cNvPr>
        <cdr:cNvCxnSpPr/>
      </cdr:nvCxnSpPr>
      <cdr:spPr>
        <a:xfrm xmlns:a="http://schemas.openxmlformats.org/drawingml/2006/main" flipV="1">
          <a:off x="2282825" y="657225"/>
          <a:ext cx="0" cy="17716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0.32847</cdr:x>
      <cdr:y>0.49884</cdr:y>
    </cdr:from>
    <cdr:to>
      <cdr:x>0.32847</cdr:x>
      <cdr:y>0.88542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A51101F9-FD13-49E1-A3E5-82C993D23119}"/>
            </a:ext>
          </a:extLst>
        </cdr:cNvPr>
        <cdr:cNvCxnSpPr/>
      </cdr:nvCxnSpPr>
      <cdr:spPr>
        <a:xfrm xmlns:a="http://schemas.openxmlformats.org/drawingml/2006/main" flipV="1">
          <a:off x="1501775" y="1368425"/>
          <a:ext cx="0" cy="10604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0.15985</cdr:x>
      <cdr:y>0.80146</cdr:y>
    </cdr:from>
    <cdr:to>
      <cdr:x>0.15991</cdr:x>
      <cdr:y>0.88937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8A994A2-006C-46DE-91F5-6209D23138BF}"/>
            </a:ext>
          </a:extLst>
        </cdr:cNvPr>
        <cdr:cNvCxnSpPr/>
      </cdr:nvCxnSpPr>
      <cdr:spPr>
        <a:xfrm xmlns:a="http://schemas.openxmlformats.org/drawingml/2006/main" flipV="1">
          <a:off x="731491" y="2180105"/>
          <a:ext cx="232" cy="23911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0.67097</cdr:x>
      <cdr:y>0.50742</cdr:y>
    </cdr:from>
    <cdr:to>
      <cdr:x>0.67097</cdr:x>
      <cdr:y>0.88451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C8E500B2-DCD0-47C7-A547-DBCCDF44D36A}"/>
            </a:ext>
          </a:extLst>
        </cdr:cNvPr>
        <cdr:cNvCxnSpPr/>
      </cdr:nvCxnSpPr>
      <cdr:spPr>
        <a:xfrm xmlns:a="http://schemas.openxmlformats.org/drawingml/2006/main" flipV="1">
          <a:off x="3057087" y="1406963"/>
          <a:ext cx="0" cy="104556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0.84096</cdr:x>
      <cdr:y>0.79993</cdr:y>
    </cdr:from>
    <cdr:to>
      <cdr:x>0.84096</cdr:x>
      <cdr:y>0.88451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BCBF21F6-2B24-4C67-B7DE-6065C33F9674}"/>
            </a:ext>
          </a:extLst>
        </cdr:cNvPr>
        <cdr:cNvCxnSpPr/>
      </cdr:nvCxnSpPr>
      <cdr:spPr>
        <a:xfrm xmlns:a="http://schemas.openxmlformats.org/drawingml/2006/main" flipV="1">
          <a:off x="3848232" y="2175954"/>
          <a:ext cx="0" cy="2300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48591</xdr:colOff>
      <xdr:row>2</xdr:row>
      <xdr:rowOff>132246</xdr:rowOff>
    </xdr:from>
    <xdr:to>
      <xdr:col>15</xdr:col>
      <xdr:colOff>344557</xdr:colOff>
      <xdr:row>17</xdr:row>
      <xdr:rowOff>113196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4" descr="Chart type: Histogram. Frequency of 'TOT'&#10;&#10;Description automatically generated">
              <a:extLst>
                <a:ext uri="{FF2B5EF4-FFF2-40B4-BE49-F238E27FC236}">
                  <a16:creationId xmlns:a16="http://schemas.microsoft.com/office/drawing/2014/main" id="{065F4803-D952-4125-9070-4976B4AAA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3741" y="500546"/>
              <a:ext cx="456316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" refreshedDate="44553.660145601854" createdVersion="6" refreshedVersion="6" minRefreshableVersion="3" recordCount="193" xr:uid="{08B4E7D5-8C0D-4A66-B359-90D6B3BA3EE8}">
  <cacheSource type="worksheet">
    <worksheetSource ref="A1:U194" sheet="TABLE"/>
  </cacheSource>
  <cacheFields count="21">
    <cacheField name="Student Number" numFmtId="0">
      <sharedItems containsString="0" containsBlank="1" containsNumber="1" containsInteger="1" minValue="1" maxValue="33"/>
    </cacheField>
    <cacheField name="Q1 (8,3,4,5)" numFmtId="2">
      <sharedItems containsString="0" containsBlank="1" containsNumber="1" containsInteger="1" minValue="0" maxValue="8"/>
    </cacheField>
    <cacheField name="Q1 (SUM)" numFmtId="0">
      <sharedItems containsString="0" containsBlank="1" containsNumber="1" containsInteger="1" minValue="0" maxValue="20"/>
    </cacheField>
    <cacheField name="Q2 (4,8,3,3,2)" numFmtId="0">
      <sharedItems containsSemiMixedTypes="0" containsString="0" containsNumber="1" containsInteger="1" minValue="0" maxValue="8"/>
    </cacheField>
    <cacheField name="Q2 (SUM)" numFmtId="0">
      <sharedItems containsString="0" containsBlank="1" containsNumber="1" containsInteger="1" minValue="0" maxValue="20"/>
    </cacheField>
    <cacheField name="Q3(10,2,2,2,2,2)" numFmtId="0">
      <sharedItems containsSemiMixedTypes="0" containsString="0" containsNumber="1" containsInteger="1" minValue="0" maxValue="10"/>
    </cacheField>
    <cacheField name="Q3 (SUM)" numFmtId="2">
      <sharedItems containsString="0" containsBlank="1" containsNumber="1" containsInteger="1" minValue="0" maxValue="20"/>
    </cacheField>
    <cacheField name="Q4(5,3,2)" numFmtId="2">
      <sharedItems containsMixedTypes="1" containsNumber="1" containsInteger="1" minValue="0" maxValue="5"/>
    </cacheField>
    <cacheField name="Q4 (SUM)" numFmtId="2">
      <sharedItems containsString="0" containsBlank="1" containsNumber="1" containsInteger="1" minValue="0" maxValue="10"/>
    </cacheField>
    <cacheField name="Q5(6,4)" numFmtId="2">
      <sharedItems containsMixedTypes="1" containsNumber="1" containsInteger="1" minValue="0" maxValue="6"/>
    </cacheField>
    <cacheField name="Q5(SUM)" numFmtId="2">
      <sharedItems containsString="0" containsBlank="1" containsNumber="1" containsInteger="1" minValue="0" maxValue="10"/>
    </cacheField>
    <cacheField name="Q6 (5)" numFmtId="2">
      <sharedItems containsMixedTypes="1" containsNumber="1" containsInteger="1" minValue="0" maxValue="5"/>
    </cacheField>
    <cacheField name="Q6(SUM)" numFmtId="2">
      <sharedItems containsString="0" containsBlank="1" containsNumber="1" containsInteger="1" minValue="0" maxValue="5"/>
    </cacheField>
    <cacheField name="Q7" numFmtId="2">
      <sharedItems containsMixedTypes="1" containsNumber="1" containsInteger="1" minValue="0" maxValue="5"/>
    </cacheField>
    <cacheField name="Q7(SUM)" numFmtId="2">
      <sharedItems containsString="0" containsBlank="1" containsNumber="1" containsInteger="1" minValue="0" maxValue="5"/>
    </cacheField>
    <cacheField name="Q8" numFmtId="2">
      <sharedItems containsMixedTypes="1" containsNumber="1" containsInteger="1" minValue="0" maxValue="5"/>
    </cacheField>
    <cacheField name="Q8(SUM)" numFmtId="2">
      <sharedItems containsString="0" containsBlank="1" containsNumber="1" containsInteger="1" minValue="0" maxValue="5"/>
    </cacheField>
    <cacheField name="Q9" numFmtId="2">
      <sharedItems containsMixedTypes="1" containsNumber="1" containsInteger="1" minValue="0" maxValue="5"/>
    </cacheField>
    <cacheField name="Q9(SUM)" numFmtId="2">
      <sharedItems containsString="0" containsBlank="1" containsNumber="1" containsInteger="1" minValue="0" maxValue="5"/>
    </cacheField>
    <cacheField name="TOT" numFmtId="0">
      <sharedItems containsMixedTypes="1" containsNumber="1" containsInteger="1" minValue="0" maxValue="95"/>
    </cacheField>
    <cacheField name="GRADE" numFmtId="2">
      <sharedItems count="8">
        <s v="F"/>
        <s v="null"/>
        <s v="B"/>
        <s v="C"/>
        <s v="E"/>
        <s v="A"/>
        <s v="D"/>
        <s v="abs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"/>
    <n v="0"/>
    <n v="0"/>
    <n v="4"/>
    <n v="6"/>
    <n v="10"/>
    <n v="18"/>
    <n v="0"/>
    <n v="0"/>
    <n v="6"/>
    <n v="6"/>
    <n v="0"/>
    <n v="0"/>
    <n v="0"/>
    <n v="0"/>
    <n v="5"/>
    <n v="5"/>
    <n v="1"/>
    <n v="1"/>
    <n v="36"/>
    <x v="0"/>
  </r>
  <r>
    <m/>
    <n v="0"/>
    <m/>
    <n v="2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"/>
    <n v="8"/>
    <n v="20"/>
    <n v="4"/>
    <n v="20"/>
    <n v="10"/>
    <n v="20"/>
    <n v="0"/>
    <n v="0"/>
    <n v="6"/>
    <n v="10"/>
    <n v="5"/>
    <n v="5"/>
    <n v="3"/>
    <n v="4"/>
    <n v="5"/>
    <n v="5"/>
    <n v="5"/>
    <n v="5"/>
    <n v="89"/>
    <x v="2"/>
  </r>
  <r>
    <m/>
    <n v="3"/>
    <m/>
    <n v="8"/>
    <m/>
    <n v="2"/>
    <m/>
    <n v="0"/>
    <m/>
    <n v="4"/>
    <m/>
    <n v="0"/>
    <m/>
    <n v="0"/>
    <m/>
    <n v="0"/>
    <m/>
    <n v="0"/>
    <m/>
    <n v="0"/>
    <x v="1"/>
  </r>
  <r>
    <m/>
    <n v="4"/>
    <m/>
    <n v="3"/>
    <m/>
    <n v="2"/>
    <m/>
    <n v="0"/>
    <m/>
    <n v="0"/>
    <m/>
    <n v="0"/>
    <m/>
    <n v="0"/>
    <m/>
    <n v="0"/>
    <m/>
    <n v="0"/>
    <m/>
    <n v="0"/>
    <x v="1"/>
  </r>
  <r>
    <m/>
    <n v="5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3"/>
    <n v="4"/>
    <n v="14"/>
    <n v="4"/>
    <n v="15"/>
    <n v="10"/>
    <n v="20"/>
    <n v="4"/>
    <n v="4"/>
    <n v="3"/>
    <n v="7"/>
    <n v="3"/>
    <n v="3"/>
    <n v="5"/>
    <n v="5"/>
    <n v="5"/>
    <n v="5"/>
    <n v="4"/>
    <n v="4"/>
    <n v="77"/>
    <x v="3"/>
  </r>
  <r>
    <m/>
    <n v="3"/>
    <m/>
    <n v="6"/>
    <m/>
    <n v="2"/>
    <m/>
    <n v="0"/>
    <m/>
    <n v="4"/>
    <m/>
    <n v="0"/>
    <m/>
    <n v="0"/>
    <m/>
    <n v="0"/>
    <m/>
    <n v="0"/>
    <m/>
    <n v="0"/>
    <x v="1"/>
  </r>
  <r>
    <m/>
    <n v="2"/>
    <m/>
    <n v="2"/>
    <m/>
    <n v="2"/>
    <m/>
    <n v="0"/>
    <m/>
    <n v="0"/>
    <m/>
    <n v="0"/>
    <m/>
    <n v="0"/>
    <m/>
    <n v="0"/>
    <m/>
    <n v="0"/>
    <m/>
    <n v="0"/>
    <x v="1"/>
  </r>
  <r>
    <m/>
    <n v="5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4"/>
    <n v="2"/>
    <n v="4"/>
    <n v="3"/>
    <n v="6"/>
    <n v="9"/>
    <n v="17"/>
    <n v="0"/>
    <n v="0"/>
    <n v="6"/>
    <n v="10"/>
    <n v="1"/>
    <n v="1"/>
    <n v="0"/>
    <n v="0"/>
    <n v="5"/>
    <n v="5"/>
    <n v="4"/>
    <n v="4"/>
    <n v="47"/>
    <x v="4"/>
  </r>
  <r>
    <m/>
    <n v="1"/>
    <m/>
    <n v="3"/>
    <m/>
    <n v="2"/>
    <m/>
    <n v="0"/>
    <m/>
    <n v="4"/>
    <m/>
    <n v="0"/>
    <m/>
    <n v="0"/>
    <m/>
    <n v="0"/>
    <m/>
    <n v="0"/>
    <m/>
    <n v="0"/>
    <x v="1"/>
  </r>
  <r>
    <m/>
    <n v="1"/>
    <m/>
    <n v="0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n v="5"/>
    <n v="8"/>
    <n v="17"/>
    <n v="4"/>
    <n v="20"/>
    <n v="10"/>
    <n v="20"/>
    <n v="5"/>
    <n v="8"/>
    <n v="6"/>
    <n v="10"/>
    <n v="5"/>
    <n v="5"/>
    <n v="5"/>
    <n v="5"/>
    <n v="5"/>
    <n v="5"/>
    <n v="5"/>
    <n v="5"/>
    <n v="95"/>
    <x v="5"/>
  </r>
  <r>
    <m/>
    <n v="3"/>
    <m/>
    <n v="8"/>
    <m/>
    <n v="2"/>
    <m/>
    <n v="2"/>
    <m/>
    <n v="4"/>
    <m/>
    <n v="0"/>
    <m/>
    <n v="0"/>
    <m/>
    <n v="0"/>
    <m/>
    <n v="0"/>
    <m/>
    <n v="0"/>
    <x v="1"/>
  </r>
  <r>
    <m/>
    <n v="4"/>
    <m/>
    <n v="3"/>
    <m/>
    <n v="2"/>
    <m/>
    <n v="1"/>
    <m/>
    <n v="0"/>
    <m/>
    <n v="0"/>
    <m/>
    <n v="0"/>
    <m/>
    <n v="0"/>
    <m/>
    <n v="0"/>
    <m/>
    <n v="0"/>
    <x v="1"/>
  </r>
  <r>
    <m/>
    <n v="2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6"/>
    <n v="8"/>
    <n v="17"/>
    <n v="4"/>
    <n v="11"/>
    <n v="0"/>
    <n v="0"/>
    <n v="0"/>
    <n v="0"/>
    <n v="0"/>
    <n v="0"/>
    <n v="1"/>
    <n v="1"/>
    <n v="0"/>
    <n v="0"/>
    <n v="5"/>
    <n v="5"/>
    <n v="5"/>
    <n v="5"/>
    <n v="39"/>
    <x v="4"/>
  </r>
  <r>
    <m/>
    <n v="3"/>
    <m/>
    <n v="5"/>
    <m/>
    <n v="0"/>
    <m/>
    <n v="0"/>
    <m/>
    <n v="0"/>
    <m/>
    <n v="0"/>
    <m/>
    <n v="0"/>
    <m/>
    <n v="0"/>
    <m/>
    <n v="0"/>
    <m/>
    <n v="0"/>
    <x v="1"/>
  </r>
  <r>
    <m/>
    <n v="4"/>
    <m/>
    <n v="0"/>
    <m/>
    <n v="0"/>
    <m/>
    <n v="0"/>
    <m/>
    <n v="0"/>
    <m/>
    <n v="0"/>
    <m/>
    <n v="0"/>
    <m/>
    <n v="0"/>
    <m/>
    <n v="0"/>
    <m/>
    <n v="0"/>
    <x v="1"/>
  </r>
  <r>
    <m/>
    <n v="2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7"/>
    <n v="8"/>
    <n v="11"/>
    <n v="4"/>
    <n v="9"/>
    <n v="10"/>
    <n v="20"/>
    <n v="0"/>
    <n v="0"/>
    <n v="6"/>
    <n v="10"/>
    <n v="5"/>
    <n v="5"/>
    <n v="3"/>
    <n v="3"/>
    <n v="5"/>
    <n v="5"/>
    <n v="5"/>
    <n v="5"/>
    <n v="68"/>
    <x v="3"/>
  </r>
  <r>
    <m/>
    <n v="3"/>
    <m/>
    <n v="0"/>
    <m/>
    <n v="2"/>
    <m/>
    <n v="0"/>
    <m/>
    <n v="4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8"/>
    <n v="8"/>
    <n v="15"/>
    <n v="4"/>
    <n v="17"/>
    <n v="10"/>
    <n v="20"/>
    <n v="4"/>
    <n v="4"/>
    <n v="2"/>
    <n v="2"/>
    <n v="1"/>
    <n v="1"/>
    <n v="3"/>
    <n v="3"/>
    <n v="2"/>
    <n v="2"/>
    <n v="3"/>
    <n v="3"/>
    <n v="67"/>
    <x v="3"/>
  </r>
  <r>
    <m/>
    <n v="3"/>
    <m/>
    <n v="8"/>
    <m/>
    <n v="2"/>
    <m/>
    <n v="0"/>
    <m/>
    <n v="0"/>
    <m/>
    <n v="0"/>
    <m/>
    <n v="0"/>
    <m/>
    <n v="0"/>
    <m/>
    <n v="0"/>
    <m/>
    <n v="0"/>
    <x v="1"/>
  </r>
  <r>
    <m/>
    <n v="2"/>
    <m/>
    <n v="2"/>
    <m/>
    <n v="2"/>
    <m/>
    <n v="0"/>
    <m/>
    <n v="0"/>
    <m/>
    <n v="0"/>
    <m/>
    <n v="0"/>
    <m/>
    <n v="0"/>
    <m/>
    <n v="0"/>
    <m/>
    <n v="0"/>
    <x v="1"/>
  </r>
  <r>
    <m/>
    <n v="2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9"/>
    <n v="8"/>
    <n v="8"/>
    <n v="4"/>
    <n v="10"/>
    <n v="0"/>
    <n v="0"/>
    <n v="0"/>
    <n v="0"/>
    <n v="0"/>
    <n v="0"/>
    <n v="1"/>
    <n v="1"/>
    <n v="3"/>
    <n v="3"/>
    <n v="5"/>
    <n v="5"/>
    <n v="5"/>
    <n v="5"/>
    <n v="32"/>
    <x v="0"/>
  </r>
  <r>
    <m/>
    <n v="0"/>
    <m/>
    <n v="3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10"/>
    <n v="8"/>
    <n v="11"/>
    <n v="2"/>
    <n v="7"/>
    <n v="10"/>
    <n v="14"/>
    <n v="0"/>
    <n v="0"/>
    <n v="1"/>
    <n v="1"/>
    <n v="2"/>
    <n v="2"/>
    <n v="3"/>
    <n v="3"/>
    <n v="5"/>
    <n v="5"/>
    <n v="5"/>
    <n v="5"/>
    <n v="48"/>
    <x v="4"/>
  </r>
  <r>
    <m/>
    <n v="3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11"/>
    <n v="8"/>
    <n v="11"/>
    <n v="4"/>
    <n v="20"/>
    <n v="10"/>
    <n v="20"/>
    <n v="5"/>
    <n v="8"/>
    <n v="6"/>
    <n v="10"/>
    <n v="5"/>
    <n v="5"/>
    <n v="5"/>
    <n v="5"/>
    <n v="5"/>
    <n v="5"/>
    <n v="2"/>
    <n v="2"/>
    <n v="86"/>
    <x v="2"/>
  </r>
  <r>
    <m/>
    <n v="3"/>
    <m/>
    <n v="8"/>
    <m/>
    <n v="2"/>
    <m/>
    <n v="3"/>
    <m/>
    <n v="4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12"/>
    <n v="8"/>
    <n v="20"/>
    <n v="4"/>
    <n v="20"/>
    <n v="10"/>
    <n v="20"/>
    <n v="4"/>
    <n v="4"/>
    <n v="6"/>
    <n v="10"/>
    <n v="5"/>
    <n v="5"/>
    <n v="3"/>
    <n v="3"/>
    <n v="5"/>
    <n v="5"/>
    <n v="0"/>
    <n v="0"/>
    <n v="87"/>
    <x v="2"/>
  </r>
  <r>
    <m/>
    <n v="3"/>
    <m/>
    <n v="8"/>
    <m/>
    <n v="2"/>
    <m/>
    <n v="0"/>
    <m/>
    <n v="4"/>
    <m/>
    <n v="0"/>
    <m/>
    <n v="0"/>
    <m/>
    <n v="0"/>
    <m/>
    <n v="0"/>
    <m/>
    <n v="0"/>
    <x v="1"/>
  </r>
  <r>
    <m/>
    <n v="4"/>
    <m/>
    <n v="3"/>
    <m/>
    <n v="2"/>
    <m/>
    <n v="0"/>
    <m/>
    <n v="0"/>
    <m/>
    <n v="0"/>
    <m/>
    <n v="0"/>
    <m/>
    <n v="0"/>
    <m/>
    <n v="0"/>
    <m/>
    <n v="0"/>
    <x v="1"/>
  </r>
  <r>
    <m/>
    <n v="5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13"/>
    <n v="8"/>
    <n v="20"/>
    <n v="4"/>
    <n v="20"/>
    <n v="10"/>
    <n v="20"/>
    <n v="0"/>
    <n v="0"/>
    <n v="6"/>
    <n v="10"/>
    <n v="5"/>
    <n v="5"/>
    <n v="5"/>
    <n v="5"/>
    <n v="5"/>
    <n v="5"/>
    <n v="0"/>
    <n v="0"/>
    <n v="85"/>
    <x v="2"/>
  </r>
  <r>
    <m/>
    <n v="3"/>
    <m/>
    <n v="8"/>
    <m/>
    <n v="2"/>
    <m/>
    <n v="0"/>
    <m/>
    <n v="4"/>
    <m/>
    <n v="0"/>
    <m/>
    <n v="0"/>
    <m/>
    <n v="0"/>
    <m/>
    <n v="0"/>
    <m/>
    <n v="0"/>
    <x v="1"/>
  </r>
  <r>
    <m/>
    <n v="4"/>
    <m/>
    <n v="3"/>
    <m/>
    <n v="2"/>
    <m/>
    <n v="0"/>
    <m/>
    <n v="0"/>
    <m/>
    <n v="0"/>
    <m/>
    <n v="0"/>
    <m/>
    <n v="0"/>
    <m/>
    <n v="0"/>
    <m/>
    <n v="0"/>
    <x v="1"/>
  </r>
  <r>
    <m/>
    <n v="5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14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8"/>
    <x v="0"/>
  </r>
  <r>
    <m/>
    <n v="1"/>
    <m/>
    <n v="0"/>
    <m/>
    <n v="0"/>
    <m/>
    <n v="0"/>
    <m/>
    <n v="0"/>
    <m/>
    <n v="0"/>
    <m/>
    <n v="0"/>
    <m/>
    <n v="0"/>
    <m/>
    <n v="0"/>
    <m/>
    <n v="0"/>
    <x v="1"/>
  </r>
  <r>
    <m/>
    <n v="2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15"/>
    <n v="8"/>
    <n v="19"/>
    <n v="3"/>
    <n v="11"/>
    <n v="6"/>
    <n v="8"/>
    <n v="4"/>
    <n v="4"/>
    <n v="6"/>
    <n v="6"/>
    <n v="0"/>
    <n v="0"/>
    <n v="0"/>
    <n v="0"/>
    <n v="2"/>
    <n v="2"/>
    <n v="5"/>
    <n v="5"/>
    <n v="55"/>
    <x v="6"/>
  </r>
  <r>
    <m/>
    <n v="3"/>
    <m/>
    <n v="5"/>
    <m/>
    <n v="2"/>
    <m/>
    <n v="0"/>
    <m/>
    <n v="0"/>
    <m/>
    <n v="0"/>
    <m/>
    <n v="0"/>
    <m/>
    <n v="0"/>
    <m/>
    <n v="0"/>
    <m/>
    <n v="0"/>
    <x v="1"/>
  </r>
  <r>
    <m/>
    <n v="4"/>
    <m/>
    <n v="1"/>
    <m/>
    <n v="0"/>
    <m/>
    <n v="0"/>
    <m/>
    <n v="0"/>
    <m/>
    <n v="0"/>
    <m/>
    <n v="0"/>
    <m/>
    <n v="0"/>
    <m/>
    <n v="0"/>
    <m/>
    <n v="0"/>
    <x v="1"/>
  </r>
  <r>
    <m/>
    <n v="4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16"/>
    <n v="8"/>
    <n v="11"/>
    <n v="4"/>
    <n v="15"/>
    <n v="10"/>
    <n v="20"/>
    <n v="0"/>
    <n v="0"/>
    <n v="6"/>
    <n v="10"/>
    <n v="5"/>
    <n v="5"/>
    <n v="3"/>
    <n v="3"/>
    <n v="5"/>
    <n v="5"/>
    <n v="0"/>
    <n v="0"/>
    <n v="69"/>
    <x v="3"/>
  </r>
  <r>
    <m/>
    <n v="3"/>
    <m/>
    <n v="7"/>
    <m/>
    <n v="2"/>
    <m/>
    <n v="0"/>
    <m/>
    <n v="4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17"/>
    <n v="6"/>
    <n v="18"/>
    <n v="4"/>
    <n v="11"/>
    <n v="10"/>
    <n v="20"/>
    <n v="5"/>
    <n v="8"/>
    <n v="6"/>
    <n v="8"/>
    <n v="3"/>
    <n v="3"/>
    <n v="3"/>
    <n v="3"/>
    <n v="3"/>
    <n v="3"/>
    <n v="5"/>
    <n v="5"/>
    <n v="79"/>
    <x v="3"/>
  </r>
  <r>
    <m/>
    <n v="3"/>
    <m/>
    <n v="5"/>
    <m/>
    <n v="2"/>
    <m/>
    <n v="3"/>
    <m/>
    <n v="2"/>
    <m/>
    <n v="0"/>
    <m/>
    <n v="0"/>
    <m/>
    <n v="0"/>
    <m/>
    <n v="0"/>
    <m/>
    <n v="0"/>
    <x v="1"/>
  </r>
  <r>
    <m/>
    <n v="4"/>
    <m/>
    <n v="1"/>
    <m/>
    <n v="2"/>
    <m/>
    <n v="0"/>
    <m/>
    <n v="0"/>
    <m/>
    <n v="0"/>
    <m/>
    <n v="0"/>
    <m/>
    <n v="0"/>
    <m/>
    <n v="0"/>
    <m/>
    <n v="0"/>
    <x v="1"/>
  </r>
  <r>
    <m/>
    <n v="5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n v="18"/>
    <n v="8"/>
    <n v="9"/>
    <n v="2"/>
    <n v="7"/>
    <n v="5"/>
    <n v="5"/>
    <n v="0"/>
    <n v="0"/>
    <n v="0"/>
    <n v="0"/>
    <n v="0"/>
    <n v="0"/>
    <n v="0"/>
    <n v="0"/>
    <n v="0"/>
    <n v="0"/>
    <n v="0"/>
    <n v="0"/>
    <n v="21"/>
    <x v="0"/>
  </r>
  <r>
    <m/>
    <n v="1"/>
    <m/>
    <n v="4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1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n v="19"/>
    <n v="8"/>
    <n v="13"/>
    <n v="4"/>
    <n v="20"/>
    <n v="10"/>
    <n v="18"/>
    <n v="4"/>
    <n v="6"/>
    <n v="6"/>
    <n v="10"/>
    <n v="5"/>
    <n v="5"/>
    <n v="0"/>
    <n v="0"/>
    <n v="5"/>
    <n v="5"/>
    <n v="5"/>
    <n v="5"/>
    <n v="82"/>
    <x v="2"/>
  </r>
  <r>
    <m/>
    <n v="3"/>
    <m/>
    <n v="8"/>
    <m/>
    <n v="1"/>
    <m/>
    <n v="2"/>
    <m/>
    <n v="4"/>
    <m/>
    <n v="0"/>
    <m/>
    <n v="0"/>
    <m/>
    <n v="0"/>
    <m/>
    <n v="0"/>
    <m/>
    <n v="0"/>
    <x v="1"/>
  </r>
  <r>
    <m/>
    <n v="2"/>
    <m/>
    <n v="3"/>
    <m/>
    <n v="1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0"/>
    <n v="8"/>
    <n v="20"/>
    <n v="4"/>
    <n v="19"/>
    <n v="10"/>
    <n v="20"/>
    <n v="0"/>
    <n v="0"/>
    <n v="6"/>
    <n v="8"/>
    <n v="5"/>
    <n v="5"/>
    <n v="5"/>
    <n v="5"/>
    <n v="5"/>
    <n v="5"/>
    <n v="5"/>
    <n v="5"/>
    <n v="87"/>
    <x v="2"/>
  </r>
  <r>
    <m/>
    <n v="3"/>
    <m/>
    <n v="7"/>
    <m/>
    <n v="2"/>
    <m/>
    <n v="0"/>
    <m/>
    <n v="2"/>
    <m/>
    <n v="0"/>
    <m/>
    <n v="0"/>
    <m/>
    <n v="0"/>
    <m/>
    <n v="0"/>
    <m/>
    <n v="0"/>
    <x v="1"/>
  </r>
  <r>
    <m/>
    <n v="4"/>
    <m/>
    <n v="3"/>
    <m/>
    <n v="2"/>
    <m/>
    <n v="0"/>
    <m/>
    <n v="0"/>
    <m/>
    <n v="0"/>
    <m/>
    <n v="0"/>
    <m/>
    <n v="0"/>
    <m/>
    <n v="0"/>
    <m/>
    <n v="0"/>
    <x v="1"/>
  </r>
  <r>
    <m/>
    <n v="5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1"/>
    <n v="8"/>
    <n v="11"/>
    <n v="4"/>
    <n v="8"/>
    <n v="10"/>
    <n v="20"/>
    <n v="0"/>
    <n v="0"/>
    <n v="6"/>
    <n v="10"/>
    <n v="5"/>
    <n v="5"/>
    <n v="2"/>
    <n v="2"/>
    <n v="5"/>
    <n v="5"/>
    <n v="0"/>
    <n v="0"/>
    <n v="61"/>
    <x v="6"/>
  </r>
  <r>
    <m/>
    <n v="3"/>
    <m/>
    <n v="2"/>
    <m/>
    <n v="2"/>
    <m/>
    <n v="0"/>
    <m/>
    <n v="4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2"/>
    <n v="8"/>
    <n v="19"/>
    <n v="3"/>
    <n v="14"/>
    <n v="9"/>
    <n v="17"/>
    <n v="0"/>
    <n v="0"/>
    <n v="6"/>
    <n v="10"/>
    <n v="5"/>
    <n v="5"/>
    <n v="5"/>
    <n v="5"/>
    <n v="5"/>
    <n v="5"/>
    <n v="0"/>
    <n v="0"/>
    <n v="75"/>
    <x v="3"/>
  </r>
  <r>
    <m/>
    <n v="3"/>
    <m/>
    <n v="7"/>
    <m/>
    <n v="2"/>
    <m/>
    <n v="0"/>
    <m/>
    <n v="4"/>
    <m/>
    <n v="0"/>
    <m/>
    <n v="0"/>
    <m/>
    <n v="0"/>
    <m/>
    <n v="0"/>
    <m/>
    <n v="0"/>
    <x v="1"/>
  </r>
  <r>
    <m/>
    <n v="4"/>
    <m/>
    <n v="2"/>
    <m/>
    <n v="1"/>
    <m/>
    <n v="0"/>
    <m/>
    <n v="0"/>
    <m/>
    <n v="0"/>
    <m/>
    <n v="0"/>
    <m/>
    <n v="0"/>
    <m/>
    <n v="0"/>
    <m/>
    <n v="0"/>
    <x v="1"/>
  </r>
  <r>
    <m/>
    <n v="4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n v="23"/>
    <n v="8"/>
    <n v="11"/>
    <n v="4"/>
    <n v="19"/>
    <n v="10"/>
    <n v="20"/>
    <n v="0"/>
    <n v="0"/>
    <n v="6"/>
    <n v="10"/>
    <n v="5"/>
    <n v="5"/>
    <n v="5"/>
    <n v="5"/>
    <n v="5"/>
    <n v="5"/>
    <n v="5"/>
    <n v="5"/>
    <n v="80"/>
    <x v="3"/>
  </r>
  <r>
    <m/>
    <n v="3"/>
    <m/>
    <n v="7"/>
    <m/>
    <n v="2"/>
    <m/>
    <n v="0"/>
    <m/>
    <n v="4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4"/>
    <n v="8"/>
    <n v="20"/>
    <n v="2"/>
    <n v="12"/>
    <n v="10"/>
    <n v="18"/>
    <n v="5"/>
    <n v="10"/>
    <n v="6"/>
    <n v="10"/>
    <n v="5"/>
    <n v="5"/>
    <n v="5"/>
    <n v="5"/>
    <n v="5"/>
    <n v="5"/>
    <n v="5"/>
    <n v="5"/>
    <n v="90"/>
    <x v="2"/>
  </r>
  <r>
    <m/>
    <n v="3"/>
    <m/>
    <n v="6"/>
    <m/>
    <n v="1"/>
    <m/>
    <n v="3"/>
    <m/>
    <n v="4"/>
    <m/>
    <n v="0"/>
    <m/>
    <n v="0"/>
    <m/>
    <n v="0"/>
    <m/>
    <n v="0"/>
    <m/>
    <n v="0"/>
    <x v="1"/>
  </r>
  <r>
    <m/>
    <n v="4"/>
    <m/>
    <n v="1"/>
    <m/>
    <n v="1"/>
    <m/>
    <n v="2"/>
    <m/>
    <n v="0"/>
    <m/>
    <n v="0"/>
    <m/>
    <n v="0"/>
    <m/>
    <n v="0"/>
    <m/>
    <n v="0"/>
    <m/>
    <n v="0"/>
    <x v="1"/>
  </r>
  <r>
    <m/>
    <n v="5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5"/>
    <n v="5"/>
    <n v="6"/>
    <n v="0"/>
    <n v="0"/>
    <n v="10"/>
    <n v="17"/>
    <n v="4"/>
    <n v="7"/>
    <n v="0"/>
    <n v="0"/>
    <n v="3"/>
    <n v="3"/>
    <n v="3"/>
    <n v="3"/>
    <n v="5"/>
    <n v="5"/>
    <n v="5"/>
    <n v="5"/>
    <n v="46"/>
    <x v="4"/>
  </r>
  <r>
    <m/>
    <n v="1"/>
    <m/>
    <n v="0"/>
    <m/>
    <n v="2"/>
    <m/>
    <n v="3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n v="26"/>
    <n v="8"/>
    <n v="12"/>
    <n v="4"/>
    <n v="18"/>
    <n v="10"/>
    <n v="20"/>
    <n v="3"/>
    <n v="5"/>
    <n v="6"/>
    <n v="10"/>
    <n v="5"/>
    <n v="5"/>
    <n v="5"/>
    <n v="5"/>
    <n v="5"/>
    <n v="5"/>
    <n v="5"/>
    <n v="5"/>
    <n v="85"/>
    <x v="2"/>
  </r>
  <r>
    <m/>
    <n v="3"/>
    <m/>
    <n v="8"/>
    <m/>
    <n v="2"/>
    <m/>
    <n v="1"/>
    <m/>
    <n v="4"/>
    <m/>
    <n v="0"/>
    <m/>
    <n v="0"/>
    <m/>
    <n v="0"/>
    <m/>
    <n v="0"/>
    <m/>
    <n v="0"/>
    <x v="1"/>
  </r>
  <r>
    <m/>
    <n v="1"/>
    <m/>
    <n v="2"/>
    <m/>
    <n v="2"/>
    <m/>
    <n v="1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7"/>
    <n v="5"/>
    <n v="10"/>
    <n v="4"/>
    <n v="11"/>
    <n v="9"/>
    <n v="17"/>
    <n v="2"/>
    <n v="2"/>
    <n v="3"/>
    <n v="4"/>
    <n v="4"/>
    <n v="4"/>
    <n v="5"/>
    <n v="5"/>
    <n v="1"/>
    <n v="1"/>
    <n v="4"/>
    <n v="4"/>
    <n v="58"/>
    <x v="6"/>
  </r>
  <r>
    <m/>
    <n v="1"/>
    <m/>
    <n v="4"/>
    <m/>
    <n v="2"/>
    <m/>
    <n v="0"/>
    <m/>
    <n v="1"/>
    <m/>
    <n v="0"/>
    <m/>
    <n v="0"/>
    <m/>
    <n v="0"/>
    <m/>
    <n v="0"/>
    <m/>
    <n v="0"/>
    <x v="1"/>
  </r>
  <r>
    <m/>
    <n v="2"/>
    <m/>
    <n v="1"/>
    <m/>
    <n v="1"/>
    <m/>
    <n v="0"/>
    <m/>
    <n v="0"/>
    <m/>
    <n v="0"/>
    <m/>
    <n v="0"/>
    <m/>
    <n v="0"/>
    <m/>
    <n v="0"/>
    <m/>
    <n v="0"/>
    <x v="1"/>
  </r>
  <r>
    <m/>
    <n v="2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1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n v="28"/>
    <n v="8"/>
    <n v="11"/>
    <n v="3"/>
    <n v="19"/>
    <n v="10"/>
    <n v="20"/>
    <n v="5"/>
    <n v="5"/>
    <n v="3"/>
    <n v="3"/>
    <n v="5"/>
    <n v="5"/>
    <n v="0"/>
    <n v="0"/>
    <n v="5"/>
    <n v="5"/>
    <n v="0"/>
    <n v="0"/>
    <n v="68"/>
    <x v="3"/>
  </r>
  <r>
    <m/>
    <n v="3"/>
    <m/>
    <n v="8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29"/>
    <n v="8"/>
    <n v="19"/>
    <n v="4"/>
    <n v="14"/>
    <n v="4"/>
    <n v="9"/>
    <n v="4"/>
    <n v="4"/>
    <n v="6"/>
    <n v="8"/>
    <n v="3"/>
    <n v="3"/>
    <n v="5"/>
    <n v="5"/>
    <n v="5"/>
    <n v="5"/>
    <n v="5"/>
    <n v="5"/>
    <n v="72"/>
    <x v="3"/>
  </r>
  <r>
    <m/>
    <n v="3"/>
    <m/>
    <n v="5"/>
    <m/>
    <n v="1"/>
    <m/>
    <n v="0"/>
    <m/>
    <n v="2"/>
    <m/>
    <n v="0"/>
    <m/>
    <n v="0"/>
    <m/>
    <n v="0"/>
    <m/>
    <n v="0"/>
    <m/>
    <n v="0"/>
    <x v="1"/>
  </r>
  <r>
    <m/>
    <n v="4"/>
    <m/>
    <n v="3"/>
    <m/>
    <n v="1"/>
    <m/>
    <n v="0"/>
    <m/>
    <n v="0"/>
    <m/>
    <n v="0"/>
    <m/>
    <n v="0"/>
    <m/>
    <n v="0"/>
    <m/>
    <n v="0"/>
    <m/>
    <n v="0"/>
    <x v="1"/>
  </r>
  <r>
    <m/>
    <n v="4"/>
    <m/>
    <n v="1"/>
    <m/>
    <n v="1"/>
    <m/>
    <n v="0"/>
    <m/>
    <n v="0"/>
    <m/>
    <n v="0"/>
    <m/>
    <n v="0"/>
    <m/>
    <n v="0"/>
    <m/>
    <n v="0"/>
    <m/>
    <n v="0"/>
    <x v="1"/>
  </r>
  <r>
    <m/>
    <n v="0"/>
    <m/>
    <n v="1"/>
    <m/>
    <n v="1"/>
    <m/>
    <n v="0"/>
    <m/>
    <n v="0"/>
    <m/>
    <n v="0"/>
    <m/>
    <n v="0"/>
    <m/>
    <n v="0"/>
    <m/>
    <n v="0"/>
    <m/>
    <n v="0"/>
    <x v="1"/>
  </r>
  <r>
    <m/>
    <n v="0"/>
    <m/>
    <n v="0"/>
    <m/>
    <n v="1"/>
    <m/>
    <n v="0"/>
    <m/>
    <n v="0"/>
    <m/>
    <n v="0"/>
    <m/>
    <n v="0"/>
    <m/>
    <n v="0"/>
    <m/>
    <n v="0"/>
    <m/>
    <n v="0"/>
    <x v="1"/>
  </r>
  <r>
    <n v="30"/>
    <n v="8"/>
    <n v="11"/>
    <n v="4"/>
    <n v="19"/>
    <n v="10"/>
    <n v="20"/>
    <n v="0"/>
    <n v="0"/>
    <n v="6"/>
    <n v="10"/>
    <n v="5"/>
    <n v="5"/>
    <n v="5"/>
    <n v="5"/>
    <n v="5"/>
    <n v="5"/>
    <n v="4"/>
    <n v="4"/>
    <n v="79"/>
    <x v="3"/>
  </r>
  <r>
    <m/>
    <n v="3"/>
    <m/>
    <n v="7"/>
    <m/>
    <n v="2"/>
    <m/>
    <n v="0"/>
    <m/>
    <n v="4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31"/>
    <n v="8"/>
    <n v="16"/>
    <n v="4"/>
    <n v="20"/>
    <n v="10"/>
    <n v="20"/>
    <n v="5"/>
    <n v="8"/>
    <n v="6"/>
    <n v="10"/>
    <n v="1"/>
    <n v="1"/>
    <n v="3"/>
    <n v="3"/>
    <n v="1"/>
    <n v="1"/>
    <n v="5"/>
    <n v="5"/>
    <n v="84"/>
    <x v="2"/>
  </r>
  <r>
    <m/>
    <n v="3"/>
    <m/>
    <n v="8"/>
    <m/>
    <n v="2"/>
    <m/>
    <n v="3"/>
    <m/>
    <n v="4"/>
    <m/>
    <n v="0"/>
    <m/>
    <n v="0"/>
    <m/>
    <n v="0"/>
    <m/>
    <n v="0"/>
    <m/>
    <n v="0"/>
    <x v="1"/>
  </r>
  <r>
    <m/>
    <n v="4"/>
    <m/>
    <n v="3"/>
    <m/>
    <n v="2"/>
    <m/>
    <n v="0"/>
    <m/>
    <n v="0"/>
    <m/>
    <n v="0"/>
    <m/>
    <n v="0"/>
    <m/>
    <n v="0"/>
    <m/>
    <n v="0"/>
    <m/>
    <n v="0"/>
    <x v="1"/>
  </r>
  <r>
    <m/>
    <n v="1"/>
    <m/>
    <n v="3"/>
    <m/>
    <n v="2"/>
    <m/>
    <n v="0"/>
    <m/>
    <n v="0"/>
    <m/>
    <n v="0"/>
    <m/>
    <n v="0"/>
    <m/>
    <n v="0"/>
    <m/>
    <n v="0"/>
    <m/>
    <n v="0"/>
    <x v="1"/>
  </r>
  <r>
    <m/>
    <n v="0"/>
    <m/>
    <n v="2"/>
    <m/>
    <n v="2"/>
    <m/>
    <n v="0"/>
    <m/>
    <n v="0"/>
    <m/>
    <n v="0"/>
    <m/>
    <n v="0"/>
    <m/>
    <n v="0"/>
    <m/>
    <n v="0"/>
    <m/>
    <n v="0"/>
    <x v="1"/>
  </r>
  <r>
    <m/>
    <n v="0"/>
    <m/>
    <n v="0"/>
    <m/>
    <n v="2"/>
    <m/>
    <n v="0"/>
    <m/>
    <n v="0"/>
    <m/>
    <n v="0"/>
    <m/>
    <n v="0"/>
    <m/>
    <n v="0"/>
    <m/>
    <n v="0"/>
    <m/>
    <n v="0"/>
    <x v="1"/>
  </r>
  <r>
    <n v="32"/>
    <m/>
    <n v="0"/>
    <n v="0"/>
    <m/>
    <n v="0"/>
    <m/>
    <s v="A"/>
    <m/>
    <s v="A"/>
    <m/>
    <s v="A"/>
    <m/>
    <s v="A"/>
    <m/>
    <s v="A"/>
    <m/>
    <s v="A"/>
    <m/>
    <s v="A"/>
    <x v="7"/>
  </r>
  <r>
    <n v="33"/>
    <n v="8"/>
    <n v="16"/>
    <n v="1"/>
    <n v="4"/>
    <n v="6"/>
    <n v="10"/>
    <n v="4"/>
    <n v="6"/>
    <n v="3"/>
    <n v="3"/>
    <n v="1"/>
    <n v="1"/>
    <n v="3"/>
    <n v="3"/>
    <n v="3"/>
    <n v="3"/>
    <n v="0"/>
    <n v="0"/>
    <n v="46"/>
    <x v="4"/>
  </r>
  <r>
    <m/>
    <n v="3"/>
    <m/>
    <n v="3"/>
    <m/>
    <n v="2"/>
    <m/>
    <n v="1"/>
    <m/>
    <n v="0"/>
    <m/>
    <n v="0"/>
    <m/>
    <n v="0"/>
    <m/>
    <n v="0"/>
    <m/>
    <n v="0"/>
    <m/>
    <n v="0"/>
    <x v="1"/>
  </r>
  <r>
    <m/>
    <n v="4"/>
    <m/>
    <n v="0"/>
    <m/>
    <n v="2"/>
    <m/>
    <n v="1"/>
    <m/>
    <n v="0"/>
    <m/>
    <n v="0"/>
    <m/>
    <n v="0"/>
    <m/>
    <n v="0"/>
    <m/>
    <n v="0"/>
    <m/>
    <n v="0"/>
    <x v="1"/>
  </r>
  <r>
    <m/>
    <n v="1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  <r>
    <m/>
    <n v="0"/>
    <m/>
    <n v="0"/>
    <m/>
    <n v="0"/>
    <m/>
    <n v="0"/>
    <m/>
    <n v="0"/>
    <m/>
    <n v="0"/>
    <m/>
    <n v="0"/>
    <m/>
    <n v="0"/>
    <m/>
    <n v="0"/>
    <m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15B1A-1AAC-4C63-AF41-BE5F49F17DF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dataField="1" numFmtId="2" showAll="0"/>
    <pivotField axis="axisRow" showAll="0">
      <items count="9">
        <item x="5"/>
        <item x="2"/>
        <item x="3"/>
        <item x="6"/>
        <item x="4"/>
        <item x="0"/>
        <item x="1"/>
        <item x="7"/>
        <item t="default"/>
      </items>
    </pivotField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OT" fld="19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339C-26B3-43FD-A52A-DE1F83A0BB8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1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9">
        <item x="5"/>
        <item x="7"/>
        <item x="2"/>
        <item x="3"/>
        <item x="6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1"/>
    </i>
    <i t="grand">
      <x/>
    </i>
  </rowItems>
  <colItems count="1">
    <i/>
  </colItems>
  <dataFields count="1">
    <dataField name="Average of TOT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98D162-2B24-414B-8E18-F928E0B4DEAD}">
  <we:reference id="0986d9dd-94f1-4b67-978d-c4cf6e6142a8" version="21.5.1.0" store="EXCatalog" storeType="EXCatalog"/>
  <we:alternateReferences>
    <we:reference id="WA200000018" version="21.5.1.0" store="nb-N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PsiOptStatus</we:customFunctionIds>
        <we:customFunctionIds>PsiPivotCube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"/>
  <sheetViews>
    <sheetView tabSelected="1" topLeftCell="A60" zoomScale="115" zoomScaleNormal="115" workbookViewId="0">
      <pane xSplit="1" topLeftCell="D1" activePane="topRight" state="frozen"/>
      <selection pane="topRight" activeCell="R69" sqref="R69"/>
    </sheetView>
  </sheetViews>
  <sheetFormatPr defaultRowHeight="14.5" x14ac:dyDescent="0.35"/>
  <cols>
    <col min="1" max="1" width="9.1796875" customWidth="1"/>
    <col min="2" max="2" width="10.26953125" hidden="1" customWidth="1"/>
    <col min="3" max="3" width="10.26953125" customWidth="1"/>
    <col min="4" max="4" width="11.7265625" customWidth="1"/>
    <col min="5" max="5" width="8.81640625" bestFit="1" customWidth="1"/>
    <col min="6" max="6" width="13.81640625" style="1" hidden="1" customWidth="1"/>
    <col min="7" max="7" width="8.7265625" style="1"/>
    <col min="8" max="8" width="8.7265625" style="1" customWidth="1"/>
    <col min="9" max="9" width="8.7265625" style="1"/>
    <col min="10" max="10" width="8.7265625" style="1" customWidth="1"/>
    <col min="11" max="11" width="8.7265625" style="1"/>
    <col min="12" max="12" width="8.7265625" style="1" customWidth="1"/>
    <col min="13" max="13" width="8.7265625" style="1"/>
    <col min="14" max="14" width="0" style="1" hidden="1" customWidth="1"/>
    <col min="15" max="15" width="8.7265625" style="1"/>
    <col min="16" max="16" width="0" style="1" hidden="1" customWidth="1"/>
    <col min="17" max="17" width="8.7265625" style="1"/>
    <col min="18" max="18" width="8.7265625" style="1" customWidth="1"/>
    <col min="19" max="19" width="8.7265625" style="1"/>
    <col min="20" max="20" width="8.7265625" style="6"/>
    <col min="21" max="21" width="8.7265625" style="1"/>
  </cols>
  <sheetData>
    <row r="1" spans="1:21" x14ac:dyDescent="0.35">
      <c r="A1" t="s">
        <v>0</v>
      </c>
      <c r="B1" t="s">
        <v>1</v>
      </c>
      <c r="C1" t="s">
        <v>7</v>
      </c>
      <c r="D1" t="s">
        <v>9</v>
      </c>
      <c r="E1" t="s">
        <v>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14</v>
      </c>
      <c r="L1" s="1" t="s">
        <v>20</v>
      </c>
      <c r="M1" s="1" t="s">
        <v>16</v>
      </c>
      <c r="N1" s="1" t="s">
        <v>2</v>
      </c>
      <c r="O1" s="1" t="s">
        <v>18</v>
      </c>
      <c r="P1" s="1" t="s">
        <v>3</v>
      </c>
      <c r="Q1" s="1" t="s">
        <v>17</v>
      </c>
      <c r="R1" s="1" t="s">
        <v>4</v>
      </c>
      <c r="S1" s="1" t="s">
        <v>19</v>
      </c>
      <c r="T1" s="6" t="s">
        <v>5</v>
      </c>
      <c r="U1" s="1" t="s">
        <v>6</v>
      </c>
    </row>
    <row r="2" spans="1:21" x14ac:dyDescent="0.35">
      <c r="A2" s="3">
        <v>1</v>
      </c>
      <c r="B2" s="2">
        <v>0</v>
      </c>
      <c r="C2" s="1">
        <f>SUM(B2:B7)</f>
        <v>0</v>
      </c>
      <c r="D2">
        <v>4</v>
      </c>
      <c r="E2" s="1">
        <f>SUM(D2:D7)</f>
        <v>6</v>
      </c>
      <c r="F2" s="1">
        <v>10</v>
      </c>
      <c r="G2" s="1">
        <f>SUM(F2:F7)</f>
        <v>18</v>
      </c>
      <c r="H2" s="1">
        <v>0</v>
      </c>
      <c r="I2" s="1">
        <f>SUM(H2:H7)</f>
        <v>0</v>
      </c>
      <c r="J2" s="1">
        <v>6</v>
      </c>
      <c r="K2" s="1">
        <f>SUM(J2:J7)</f>
        <v>6</v>
      </c>
      <c r="L2" s="1">
        <v>0</v>
      </c>
      <c r="M2" s="1">
        <f>SUM(L2:L7)</f>
        <v>0</v>
      </c>
      <c r="N2" s="1">
        <v>0</v>
      </c>
      <c r="O2" s="1">
        <f>SUM(N2:N7)</f>
        <v>0</v>
      </c>
      <c r="P2" s="1">
        <v>5</v>
      </c>
      <c r="Q2" s="1">
        <f>SUM(P2:P7)</f>
        <v>5</v>
      </c>
      <c r="R2" s="1">
        <v>1</v>
      </c>
      <c r="S2" s="1">
        <f>SUM(R2:R7)</f>
        <v>1</v>
      </c>
      <c r="T2" s="6">
        <f>C2+E2+G2+I2+K2+M2+O2+Q2+S2</f>
        <v>36</v>
      </c>
      <c r="U2" s="1" t="str">
        <f>_xlfn.IFS(T2=0,"null",T2="A","absent", T2&gt;=95,"A",T2&gt;=81,"B",T2&gt;=65,"C",T2&gt;=50,"D",T2&gt;=39,"E",T2&lt;39,"F")</f>
        <v>F</v>
      </c>
    </row>
    <row r="3" spans="1:21" x14ac:dyDescent="0.35">
      <c r="B3" s="2">
        <v>0</v>
      </c>
      <c r="D3">
        <v>2</v>
      </c>
      <c r="F3" s="1">
        <v>1</v>
      </c>
      <c r="H3" s="1">
        <v>0</v>
      </c>
      <c r="J3" s="1">
        <v>0</v>
      </c>
      <c r="L3" s="1">
        <v>0</v>
      </c>
      <c r="N3" s="1">
        <v>0</v>
      </c>
      <c r="P3" s="1">
        <v>0</v>
      </c>
      <c r="R3" s="1">
        <v>0</v>
      </c>
      <c r="T3" s="6">
        <f t="shared" ref="T3:T66" si="0">C3+E3+G3+I3+K3+M3+O3+Q3+S3</f>
        <v>0</v>
      </c>
      <c r="U3" s="1" t="str" cm="1">
        <f t="array" ref="U3">_xlfn.IFS(T3=0,"null",T3="A","absent", T3&gt;=89,"A",T3&gt;=77,"B",T3&gt;=65,"C",T3&gt;=53,"D",T3&gt;=41,"E",T3&lt;=40,"F")</f>
        <v>null</v>
      </c>
    </row>
    <row r="4" spans="1:21" x14ac:dyDescent="0.35">
      <c r="B4" s="2">
        <v>0</v>
      </c>
      <c r="D4">
        <v>0</v>
      </c>
      <c r="F4" s="1">
        <v>1</v>
      </c>
      <c r="H4" s="1">
        <v>0</v>
      </c>
      <c r="J4" s="1">
        <v>0</v>
      </c>
      <c r="L4" s="1">
        <v>0</v>
      </c>
      <c r="N4" s="1">
        <v>0</v>
      </c>
      <c r="P4" s="1">
        <v>0</v>
      </c>
      <c r="R4" s="1">
        <v>0</v>
      </c>
      <c r="T4" s="6">
        <f t="shared" si="0"/>
        <v>0</v>
      </c>
      <c r="U4" s="1" t="str" cm="1">
        <f t="array" ref="U4">_xlfn.IFS(T4=0,"null",T4="A","absent", T4&gt;=89,"A",T4&gt;=77,"B",T4&gt;=65,"C",T4&gt;=53,"D",T4&gt;=41,"E",T4&lt;=40,"F")</f>
        <v>null</v>
      </c>
    </row>
    <row r="5" spans="1:21" x14ac:dyDescent="0.35">
      <c r="B5" s="2">
        <v>0</v>
      </c>
      <c r="D5">
        <v>0</v>
      </c>
      <c r="F5" s="1">
        <v>2</v>
      </c>
      <c r="H5" s="1">
        <v>0</v>
      </c>
      <c r="J5" s="1">
        <v>0</v>
      </c>
      <c r="L5" s="1">
        <v>0</v>
      </c>
      <c r="N5" s="1">
        <v>0</v>
      </c>
      <c r="P5" s="1">
        <v>0</v>
      </c>
      <c r="R5" s="1">
        <v>0</v>
      </c>
      <c r="T5" s="6">
        <f t="shared" si="0"/>
        <v>0</v>
      </c>
      <c r="U5" s="1" t="str" cm="1">
        <f t="array" ref="U5">_xlfn.IFS(T5=0,"null",T5="A","absent", T5&gt;=89,"A",T5&gt;=77,"B",T5&gt;=65,"C",T5&gt;=53,"D",T5&gt;=41,"E",T5&lt;=40,"F")</f>
        <v>null</v>
      </c>
    </row>
    <row r="6" spans="1:21" x14ac:dyDescent="0.35">
      <c r="B6" s="2">
        <v>0</v>
      </c>
      <c r="D6">
        <v>0</v>
      </c>
      <c r="F6" s="1">
        <v>2</v>
      </c>
      <c r="H6" s="1">
        <v>0</v>
      </c>
      <c r="J6" s="1">
        <v>0</v>
      </c>
      <c r="L6" s="1">
        <v>0</v>
      </c>
      <c r="N6" s="1">
        <v>0</v>
      </c>
      <c r="P6" s="1">
        <v>0</v>
      </c>
      <c r="R6" s="1">
        <v>0</v>
      </c>
      <c r="T6" s="6">
        <f t="shared" si="0"/>
        <v>0</v>
      </c>
      <c r="U6" s="1" t="str" cm="1">
        <f t="array" ref="U6">_xlfn.IFS(T6=0,"null",T6="A","absent", T6&gt;=89,"A",T6&gt;=77,"B",T6&gt;=65,"C",T6&gt;=53,"D",T6&gt;=41,"E",T6&lt;=40,"F")</f>
        <v>null</v>
      </c>
    </row>
    <row r="7" spans="1:21" x14ac:dyDescent="0.35">
      <c r="B7" s="2">
        <v>0</v>
      </c>
      <c r="D7">
        <v>0</v>
      </c>
      <c r="F7" s="1">
        <v>2</v>
      </c>
      <c r="H7" s="1">
        <v>0</v>
      </c>
      <c r="J7" s="1">
        <v>0</v>
      </c>
      <c r="L7" s="1">
        <v>0</v>
      </c>
      <c r="N7" s="1">
        <v>0</v>
      </c>
      <c r="P7" s="1">
        <v>0</v>
      </c>
      <c r="R7" s="1">
        <v>0</v>
      </c>
      <c r="T7" s="6">
        <f t="shared" si="0"/>
        <v>0</v>
      </c>
      <c r="U7" s="1" t="str" cm="1">
        <f t="array" ref="U7">_xlfn.IFS(T7=0,"null",T7="A","absent", T7&gt;=89,"A",T7&gt;=77,"B",T7&gt;=65,"C",T7&gt;=53,"D",T7&gt;=41,"E",T7&lt;=40,"F")</f>
        <v>null</v>
      </c>
    </row>
    <row r="8" spans="1:21" x14ac:dyDescent="0.35">
      <c r="A8" s="3">
        <v>2</v>
      </c>
      <c r="B8" s="2">
        <v>8</v>
      </c>
      <c r="C8" s="1">
        <f>SUM(B8:B13)</f>
        <v>20</v>
      </c>
      <c r="D8">
        <v>4</v>
      </c>
      <c r="E8" s="1">
        <f>SUM(D8:D13)</f>
        <v>20</v>
      </c>
      <c r="F8" s="1">
        <v>10</v>
      </c>
      <c r="G8" s="1">
        <f>SUM(F8:F13)</f>
        <v>20</v>
      </c>
      <c r="H8" s="1">
        <v>0</v>
      </c>
      <c r="I8" s="1">
        <f>SUM(H8:H13)</f>
        <v>0</v>
      </c>
      <c r="J8" s="1">
        <v>6</v>
      </c>
      <c r="K8" s="1">
        <f>SUM(J8:J13)</f>
        <v>10</v>
      </c>
      <c r="L8" s="1">
        <v>5</v>
      </c>
      <c r="M8" s="1">
        <f>SUM(L8:L13)</f>
        <v>5</v>
      </c>
      <c r="N8" s="1">
        <v>3</v>
      </c>
      <c r="O8" s="1">
        <v>4</v>
      </c>
      <c r="P8" s="1">
        <v>5</v>
      </c>
      <c r="Q8" s="1">
        <f>SUM(P8:P13)</f>
        <v>5</v>
      </c>
      <c r="R8" s="1">
        <v>5</v>
      </c>
      <c r="S8" s="1">
        <f>SUM(R8:R13)</f>
        <v>5</v>
      </c>
      <c r="T8" s="6">
        <f t="shared" si="0"/>
        <v>89</v>
      </c>
      <c r="U8" s="1" t="str">
        <f>_xlfn.IFS(T8=0,"null",T8="A","absent", T8&gt;=95,"A",T8&gt;=81,"B",T8&gt;=65,"C",T8&gt;=50,"D",T8&gt;=39,"E",T8&lt;39,"F")</f>
        <v>B</v>
      </c>
    </row>
    <row r="9" spans="1:21" x14ac:dyDescent="0.35">
      <c r="B9" s="2">
        <v>3</v>
      </c>
      <c r="D9">
        <v>8</v>
      </c>
      <c r="F9" s="1">
        <v>2</v>
      </c>
      <c r="H9" s="1">
        <v>0</v>
      </c>
      <c r="J9" s="1">
        <v>4</v>
      </c>
      <c r="L9" s="1">
        <v>0</v>
      </c>
      <c r="N9" s="1">
        <v>0</v>
      </c>
      <c r="P9" s="1">
        <v>0</v>
      </c>
      <c r="R9" s="1">
        <v>0</v>
      </c>
      <c r="T9" s="6">
        <f t="shared" si="0"/>
        <v>0</v>
      </c>
      <c r="U9" s="1" t="str" cm="1">
        <f t="array" ref="U9">_xlfn.IFS(T9=0,"null",T9="A","absent", T9&gt;=89,"A",T9&gt;=77,"B",T9&gt;=65,"C",T9&gt;=53,"D",T9&gt;=41,"E",T9&lt;=40,"F")</f>
        <v>null</v>
      </c>
    </row>
    <row r="10" spans="1:21" x14ac:dyDescent="0.35">
      <c r="B10" s="2">
        <v>4</v>
      </c>
      <c r="D10">
        <v>3</v>
      </c>
      <c r="F10" s="1">
        <v>2</v>
      </c>
      <c r="H10" s="1">
        <v>0</v>
      </c>
      <c r="J10" s="1">
        <v>0</v>
      </c>
      <c r="L10" s="1">
        <v>0</v>
      </c>
      <c r="N10" s="1">
        <v>0</v>
      </c>
      <c r="P10" s="1">
        <v>0</v>
      </c>
      <c r="R10" s="1">
        <v>0</v>
      </c>
      <c r="T10" s="6">
        <f t="shared" si="0"/>
        <v>0</v>
      </c>
      <c r="U10" s="1" t="str" cm="1">
        <f t="array" ref="U10">_xlfn.IFS(T10=0,"null",T10="A","absent", T10&gt;=89,"A",T10&gt;=77,"B",T10&gt;=65,"C",T10&gt;=53,"D",T10&gt;=41,"E",T10&lt;=40,"F")</f>
        <v>null</v>
      </c>
    </row>
    <row r="11" spans="1:21" x14ac:dyDescent="0.35">
      <c r="B11" s="2">
        <v>5</v>
      </c>
      <c r="D11">
        <v>3</v>
      </c>
      <c r="F11" s="1">
        <v>2</v>
      </c>
      <c r="H11" s="1">
        <v>0</v>
      </c>
      <c r="J11" s="1">
        <v>0</v>
      </c>
      <c r="L11" s="1">
        <v>0</v>
      </c>
      <c r="N11" s="1">
        <v>0</v>
      </c>
      <c r="P11" s="1">
        <v>0</v>
      </c>
      <c r="R11" s="1">
        <v>0</v>
      </c>
      <c r="T11" s="6">
        <f t="shared" si="0"/>
        <v>0</v>
      </c>
      <c r="U11" s="1" t="str" cm="1">
        <f t="array" ref="U11">_xlfn.IFS(T11=0,"null",T11="A","absent", T11&gt;=89,"A",T11&gt;=77,"B",T11&gt;=65,"C",T11&gt;=53,"D",T11&gt;=41,"E",T11&lt;=40,"F")</f>
        <v>null</v>
      </c>
    </row>
    <row r="12" spans="1:21" x14ac:dyDescent="0.35">
      <c r="B12" s="2">
        <v>0</v>
      </c>
      <c r="D12">
        <v>2</v>
      </c>
      <c r="F12" s="1">
        <v>2</v>
      </c>
      <c r="H12" s="1">
        <v>0</v>
      </c>
      <c r="J12" s="1">
        <v>0</v>
      </c>
      <c r="L12" s="1">
        <v>0</v>
      </c>
      <c r="N12" s="1">
        <v>0</v>
      </c>
      <c r="P12" s="1">
        <v>0</v>
      </c>
      <c r="R12" s="1">
        <v>0</v>
      </c>
      <c r="T12" s="6">
        <f t="shared" si="0"/>
        <v>0</v>
      </c>
      <c r="U12" s="1" t="str" cm="1">
        <f t="array" ref="U12">_xlfn.IFS(T12=0,"null",T12="A","absent", T12&gt;=89,"A",T12&gt;=77,"B",T12&gt;=65,"C",T12&gt;=53,"D",T12&gt;=41,"E",T12&lt;=40,"F")</f>
        <v>null</v>
      </c>
    </row>
    <row r="13" spans="1:21" x14ac:dyDescent="0.35">
      <c r="B13" s="2">
        <v>0</v>
      </c>
      <c r="D13">
        <v>0</v>
      </c>
      <c r="F13" s="1">
        <v>2</v>
      </c>
      <c r="H13" s="1">
        <v>0</v>
      </c>
      <c r="J13" s="1">
        <v>0</v>
      </c>
      <c r="L13" s="1">
        <v>0</v>
      </c>
      <c r="N13" s="1">
        <v>0</v>
      </c>
      <c r="P13" s="1">
        <v>0</v>
      </c>
      <c r="R13" s="1">
        <v>0</v>
      </c>
      <c r="T13" s="6">
        <f t="shared" si="0"/>
        <v>0</v>
      </c>
      <c r="U13" s="1" t="str" cm="1">
        <f t="array" ref="U13">_xlfn.IFS(T13=0,"null",T13="A","absent", T13&gt;=89,"A",T13&gt;=77,"B",T13&gt;=65,"C",T13&gt;=53,"D",T13&gt;=41,"E",T13&lt;=40,"F")</f>
        <v>null</v>
      </c>
    </row>
    <row r="14" spans="1:21" x14ac:dyDescent="0.35">
      <c r="A14" s="3">
        <v>3</v>
      </c>
      <c r="B14" s="2">
        <v>4</v>
      </c>
      <c r="C14" s="1">
        <f>SUM(B14:B19)</f>
        <v>14</v>
      </c>
      <c r="D14">
        <v>4</v>
      </c>
      <c r="E14" s="1">
        <f>SUM(D14:D19)</f>
        <v>15</v>
      </c>
      <c r="F14" s="1">
        <v>10</v>
      </c>
      <c r="G14" s="1">
        <f>SUM(F14:F19)</f>
        <v>20</v>
      </c>
      <c r="H14" s="1">
        <v>4</v>
      </c>
      <c r="I14" s="1">
        <f>SUM(H14:H19)</f>
        <v>4</v>
      </c>
      <c r="J14" s="1">
        <v>3</v>
      </c>
      <c r="K14" s="1">
        <f>SUM(J14:J19)</f>
        <v>7</v>
      </c>
      <c r="L14" s="1">
        <v>3</v>
      </c>
      <c r="M14" s="1">
        <f>SUM(L14:L19)</f>
        <v>3</v>
      </c>
      <c r="N14" s="1">
        <v>5</v>
      </c>
      <c r="O14" s="1">
        <f>SUM(N14:N19)</f>
        <v>5</v>
      </c>
      <c r="P14" s="1">
        <v>5</v>
      </c>
      <c r="Q14" s="1">
        <f>SUM(P14:P19)</f>
        <v>5</v>
      </c>
      <c r="R14" s="1">
        <v>4</v>
      </c>
      <c r="S14" s="1">
        <f>SUM(R14:R19)</f>
        <v>4</v>
      </c>
      <c r="T14" s="6">
        <f t="shared" si="0"/>
        <v>77</v>
      </c>
      <c r="U14" s="1" t="str">
        <f>_xlfn.IFS(T14=0,"null",T14="A","absent", T14&gt;=95,"A",T14&gt;=81,"B",T14&gt;=65,"C",T14&gt;=50,"D",T14&gt;=39,"E",T14&lt;39,"F")</f>
        <v>C</v>
      </c>
    </row>
    <row r="15" spans="1:21" x14ac:dyDescent="0.35">
      <c r="B15" s="2">
        <v>3</v>
      </c>
      <c r="D15">
        <v>6</v>
      </c>
      <c r="F15" s="1">
        <v>2</v>
      </c>
      <c r="H15" s="1">
        <v>0</v>
      </c>
      <c r="J15" s="1">
        <v>4</v>
      </c>
      <c r="L15" s="1">
        <v>0</v>
      </c>
      <c r="N15" s="1">
        <v>0</v>
      </c>
      <c r="P15" s="1">
        <v>0</v>
      </c>
      <c r="R15" s="1">
        <v>0</v>
      </c>
      <c r="T15" s="6">
        <f t="shared" si="0"/>
        <v>0</v>
      </c>
      <c r="U15" s="1" t="str" cm="1">
        <f t="array" ref="U15">_xlfn.IFS(T15=0,"null",T15="A","absent", T15&gt;=89,"A",T15&gt;=77,"B",T15&gt;=65,"C",T15&gt;=53,"D",T15&gt;=41,"E",T15&lt;=40,"F")</f>
        <v>null</v>
      </c>
    </row>
    <row r="16" spans="1:21" x14ac:dyDescent="0.35">
      <c r="B16" s="2">
        <v>2</v>
      </c>
      <c r="D16">
        <v>2</v>
      </c>
      <c r="F16" s="1">
        <v>2</v>
      </c>
      <c r="H16" s="1">
        <v>0</v>
      </c>
      <c r="J16" s="1">
        <v>0</v>
      </c>
      <c r="L16" s="1">
        <v>0</v>
      </c>
      <c r="N16" s="1">
        <v>0</v>
      </c>
      <c r="P16" s="1">
        <v>0</v>
      </c>
      <c r="R16" s="1">
        <v>0</v>
      </c>
      <c r="T16" s="6">
        <f t="shared" si="0"/>
        <v>0</v>
      </c>
      <c r="U16" s="1" t="str" cm="1">
        <f t="array" ref="U16">_xlfn.IFS(T16=0,"null",T16="A","absent", T16&gt;=89,"A",T16&gt;=77,"B",T16&gt;=65,"C",T16&gt;=53,"D",T16&gt;=41,"E",T16&lt;=40,"F")</f>
        <v>null</v>
      </c>
    </row>
    <row r="17" spans="1:21" x14ac:dyDescent="0.35">
      <c r="B17" s="2">
        <v>5</v>
      </c>
      <c r="D17">
        <v>2</v>
      </c>
      <c r="F17" s="1">
        <v>2</v>
      </c>
      <c r="H17" s="1">
        <v>0</v>
      </c>
      <c r="J17" s="1">
        <v>0</v>
      </c>
      <c r="L17" s="1">
        <v>0</v>
      </c>
      <c r="N17" s="1">
        <v>0</v>
      </c>
      <c r="P17" s="1">
        <v>0</v>
      </c>
      <c r="R17" s="1">
        <v>0</v>
      </c>
      <c r="T17" s="6">
        <f t="shared" si="0"/>
        <v>0</v>
      </c>
      <c r="U17" s="1" t="str" cm="1">
        <f t="array" ref="U17">_xlfn.IFS(T17=0,"null",T17="A","absent", T17&gt;=89,"A",T17&gt;=77,"B",T17&gt;=65,"C",T17&gt;=53,"D",T17&gt;=41,"E",T17&lt;=40,"F")</f>
        <v>null</v>
      </c>
    </row>
    <row r="18" spans="1:21" x14ac:dyDescent="0.35">
      <c r="B18" s="2">
        <v>0</v>
      </c>
      <c r="D18">
        <v>1</v>
      </c>
      <c r="F18" s="1">
        <v>2</v>
      </c>
      <c r="H18" s="1">
        <v>0</v>
      </c>
      <c r="J18" s="1">
        <v>0</v>
      </c>
      <c r="L18" s="1">
        <v>0</v>
      </c>
      <c r="N18" s="1">
        <v>0</v>
      </c>
      <c r="P18" s="1">
        <v>0</v>
      </c>
      <c r="R18" s="1">
        <v>0</v>
      </c>
      <c r="T18" s="6">
        <f t="shared" si="0"/>
        <v>0</v>
      </c>
      <c r="U18" s="1" t="str" cm="1">
        <f t="array" ref="U18">_xlfn.IFS(T18=0,"null",T18="A","absent", T18&gt;=89,"A",T18&gt;=77,"B",T18&gt;=65,"C",T18&gt;=53,"D",T18&gt;=41,"E",T18&lt;=40,"F")</f>
        <v>null</v>
      </c>
    </row>
    <row r="19" spans="1:21" x14ac:dyDescent="0.35">
      <c r="B19" s="2">
        <v>0</v>
      </c>
      <c r="D19">
        <v>0</v>
      </c>
      <c r="F19" s="1">
        <v>2</v>
      </c>
      <c r="H19" s="1">
        <v>0</v>
      </c>
      <c r="J19" s="1">
        <v>0</v>
      </c>
      <c r="L19" s="1">
        <v>0</v>
      </c>
      <c r="N19" s="1">
        <v>0</v>
      </c>
      <c r="P19" s="1">
        <v>0</v>
      </c>
      <c r="R19" s="1">
        <v>0</v>
      </c>
      <c r="T19" s="6">
        <f t="shared" si="0"/>
        <v>0</v>
      </c>
      <c r="U19" s="1" t="str" cm="1">
        <f t="array" ref="U19">_xlfn.IFS(T19=0,"null",T19="A","absent", T19&gt;=89,"A",T19&gt;=77,"B",T19&gt;=65,"C",T19&gt;=53,"D",T19&gt;=41,"E",T19&lt;=40,"F")</f>
        <v>null</v>
      </c>
    </row>
    <row r="20" spans="1:21" x14ac:dyDescent="0.35">
      <c r="A20" s="3">
        <v>4</v>
      </c>
      <c r="B20" s="2">
        <v>2</v>
      </c>
      <c r="C20" s="1">
        <f>SUM(B20:B25)</f>
        <v>4</v>
      </c>
      <c r="D20">
        <v>3</v>
      </c>
      <c r="E20" s="1">
        <f>SUM(D20:D25)</f>
        <v>6</v>
      </c>
      <c r="F20" s="1">
        <v>9</v>
      </c>
      <c r="G20" s="1">
        <f>SUM(F20:F25)</f>
        <v>17</v>
      </c>
      <c r="H20" s="1">
        <v>0</v>
      </c>
      <c r="I20" s="1">
        <f>SUM(H20:H25)</f>
        <v>0</v>
      </c>
      <c r="J20" s="1">
        <v>6</v>
      </c>
      <c r="K20" s="1">
        <f>SUM(J20:J25)</f>
        <v>10</v>
      </c>
      <c r="L20" s="1">
        <v>1</v>
      </c>
      <c r="M20" s="1">
        <f>SUM(L20:L25)</f>
        <v>1</v>
      </c>
      <c r="N20" s="1">
        <v>0</v>
      </c>
      <c r="O20" s="1">
        <f>SUM(N20:N25)</f>
        <v>0</v>
      </c>
      <c r="P20" s="1">
        <v>5</v>
      </c>
      <c r="Q20" s="1">
        <f>SUM(P20:P25)</f>
        <v>5</v>
      </c>
      <c r="R20" s="1">
        <v>4</v>
      </c>
      <c r="S20" s="1">
        <f>SUM(R20:R25)</f>
        <v>4</v>
      </c>
      <c r="T20" s="6">
        <f t="shared" si="0"/>
        <v>47</v>
      </c>
      <c r="U20" s="1" t="str">
        <f>_xlfn.IFS(T20=0,"null",T20="A","absent", T20&gt;=95,"A",T20&gt;=81,"B",T20&gt;=65,"C",T20&gt;=50,"D",T20&gt;=39,"E",T20&lt;39,"F")</f>
        <v>E</v>
      </c>
    </row>
    <row r="21" spans="1:21" x14ac:dyDescent="0.35">
      <c r="B21" s="2">
        <v>1</v>
      </c>
      <c r="D21">
        <v>3</v>
      </c>
      <c r="F21" s="1">
        <v>2</v>
      </c>
      <c r="H21" s="1">
        <v>0</v>
      </c>
      <c r="J21" s="1">
        <v>4</v>
      </c>
      <c r="L21" s="1">
        <v>0</v>
      </c>
      <c r="N21" s="1">
        <v>0</v>
      </c>
      <c r="P21" s="1">
        <v>0</v>
      </c>
      <c r="R21" s="1">
        <v>0</v>
      </c>
      <c r="T21" s="6">
        <f t="shared" si="0"/>
        <v>0</v>
      </c>
      <c r="U21" s="1" t="str" cm="1">
        <f t="array" ref="U21">_xlfn.IFS(T21=0,"null",T21="A","absent", T21&gt;=89,"A",T21&gt;=77,"B",T21&gt;=65,"C",T21&gt;=53,"D",T21&gt;=41,"E",T21&lt;=40,"F")</f>
        <v>null</v>
      </c>
    </row>
    <row r="22" spans="1:21" x14ac:dyDescent="0.35">
      <c r="B22" s="2">
        <v>1</v>
      </c>
      <c r="D22">
        <v>0</v>
      </c>
      <c r="F22" s="1">
        <v>1</v>
      </c>
      <c r="H22" s="1">
        <v>0</v>
      </c>
      <c r="J22" s="1">
        <v>0</v>
      </c>
      <c r="L22" s="1">
        <v>0</v>
      </c>
      <c r="N22" s="1">
        <v>0</v>
      </c>
      <c r="P22" s="1">
        <v>0</v>
      </c>
      <c r="R22" s="1">
        <v>0</v>
      </c>
      <c r="T22" s="6">
        <f t="shared" si="0"/>
        <v>0</v>
      </c>
      <c r="U22" s="1" t="str" cm="1">
        <f t="array" ref="U22">_xlfn.IFS(T22=0,"null",T22="A","absent", T22&gt;=89,"A",T22&gt;=77,"B",T22&gt;=65,"C",T22&gt;=53,"D",T22&gt;=41,"E",T22&lt;=40,"F")</f>
        <v>null</v>
      </c>
    </row>
    <row r="23" spans="1:21" x14ac:dyDescent="0.35">
      <c r="B23" s="2">
        <v>0</v>
      </c>
      <c r="D23">
        <v>0</v>
      </c>
      <c r="F23" s="1">
        <v>2</v>
      </c>
      <c r="H23" s="1">
        <v>0</v>
      </c>
      <c r="J23" s="1">
        <v>0</v>
      </c>
      <c r="L23" s="1">
        <v>0</v>
      </c>
      <c r="N23" s="1">
        <v>0</v>
      </c>
      <c r="P23" s="1">
        <v>0</v>
      </c>
      <c r="R23" s="1">
        <v>0</v>
      </c>
      <c r="T23" s="6">
        <f t="shared" si="0"/>
        <v>0</v>
      </c>
      <c r="U23" s="1" t="str" cm="1">
        <f t="array" ref="U23">_xlfn.IFS(T23=0,"null",T23="A","absent", T23&gt;=89,"A",T23&gt;=77,"B",T23&gt;=65,"C",T23&gt;=53,"D",T23&gt;=41,"E",T23&lt;=40,"F")</f>
        <v>null</v>
      </c>
    </row>
    <row r="24" spans="1:21" x14ac:dyDescent="0.35">
      <c r="B24" s="2">
        <v>0</v>
      </c>
      <c r="D24">
        <v>0</v>
      </c>
      <c r="F24" s="1">
        <v>2</v>
      </c>
      <c r="H24" s="1">
        <v>0</v>
      </c>
      <c r="J24" s="1">
        <v>0</v>
      </c>
      <c r="L24" s="1">
        <v>0</v>
      </c>
      <c r="N24" s="1">
        <v>0</v>
      </c>
      <c r="P24" s="1">
        <v>0</v>
      </c>
      <c r="R24" s="1">
        <v>0</v>
      </c>
      <c r="T24" s="6">
        <f t="shared" si="0"/>
        <v>0</v>
      </c>
      <c r="U24" s="1" t="str" cm="1">
        <f t="array" ref="U24">_xlfn.IFS(T24=0,"null",T24="A","absent", T24&gt;=89,"A",T24&gt;=77,"B",T24&gt;=65,"C",T24&gt;=53,"D",T24&gt;=41,"E",T24&lt;=40,"F")</f>
        <v>null</v>
      </c>
    </row>
    <row r="25" spans="1:21" x14ac:dyDescent="0.35">
      <c r="B25" s="2">
        <v>0</v>
      </c>
      <c r="D25">
        <v>0</v>
      </c>
      <c r="F25" s="1">
        <v>1</v>
      </c>
      <c r="H25" s="1">
        <v>0</v>
      </c>
      <c r="J25" s="1">
        <v>0</v>
      </c>
      <c r="L25" s="1">
        <v>0</v>
      </c>
      <c r="N25" s="1">
        <v>0</v>
      </c>
      <c r="P25" s="1">
        <v>0</v>
      </c>
      <c r="R25" s="1">
        <v>0</v>
      </c>
      <c r="T25" s="6">
        <f t="shared" si="0"/>
        <v>0</v>
      </c>
      <c r="U25" s="1" t="str" cm="1">
        <f t="array" ref="U25">_xlfn.IFS(T25=0,"null",T25="A","absent", T25&gt;=89,"A",T25&gt;=77,"B",T25&gt;=65,"C",T25&gt;=53,"D",T25&gt;=41,"E",T25&lt;=40,"F")</f>
        <v>null</v>
      </c>
    </row>
    <row r="26" spans="1:21" x14ac:dyDescent="0.35">
      <c r="A26" s="3">
        <v>5</v>
      </c>
      <c r="B26" s="2">
        <v>8</v>
      </c>
      <c r="C26" s="1">
        <f>SUM(B26:B31)</f>
        <v>17</v>
      </c>
      <c r="D26">
        <v>4</v>
      </c>
      <c r="E26" s="1">
        <f>SUM(D26:D31)</f>
        <v>20</v>
      </c>
      <c r="F26" s="1">
        <v>10</v>
      </c>
      <c r="G26" s="1">
        <f>SUM(F26:F31)</f>
        <v>20</v>
      </c>
      <c r="H26" s="1">
        <v>5</v>
      </c>
      <c r="I26" s="1">
        <f>SUM(H26:H31)</f>
        <v>8</v>
      </c>
      <c r="J26" s="1">
        <v>6</v>
      </c>
      <c r="K26" s="1">
        <f>SUM(J26:J31)</f>
        <v>10</v>
      </c>
      <c r="L26" s="1">
        <v>5</v>
      </c>
      <c r="M26" s="1">
        <f>SUM(L26:L31)</f>
        <v>5</v>
      </c>
      <c r="N26" s="1">
        <v>5</v>
      </c>
      <c r="O26" s="1">
        <f>SUM(N26:N31)</f>
        <v>5</v>
      </c>
      <c r="P26" s="1">
        <v>5</v>
      </c>
      <c r="Q26" s="1">
        <f>SUM(P26:P31)</f>
        <v>5</v>
      </c>
      <c r="R26" s="1">
        <v>5</v>
      </c>
      <c r="S26" s="1">
        <f>SUM(R26:R31)</f>
        <v>5</v>
      </c>
      <c r="T26" s="6">
        <f t="shared" si="0"/>
        <v>95</v>
      </c>
      <c r="U26" s="1" t="str">
        <f>_xlfn.IFS(T26=0,"null",T26="A","absent", T26&gt;=95,"A",T26&gt;=81,"B",T26&gt;=65,"C",T26&gt;=50,"D",T26&gt;=39,"E",T26&lt;39,"F")</f>
        <v>A</v>
      </c>
    </row>
    <row r="27" spans="1:21" x14ac:dyDescent="0.35">
      <c r="B27" s="2">
        <v>3</v>
      </c>
      <c r="D27">
        <v>8</v>
      </c>
      <c r="F27" s="1">
        <v>2</v>
      </c>
      <c r="H27" s="1">
        <v>2</v>
      </c>
      <c r="J27" s="1">
        <v>4</v>
      </c>
      <c r="L27" s="1">
        <v>0</v>
      </c>
      <c r="N27" s="1">
        <v>0</v>
      </c>
      <c r="P27" s="1">
        <v>0</v>
      </c>
      <c r="R27" s="1">
        <v>0</v>
      </c>
      <c r="T27" s="6">
        <f t="shared" si="0"/>
        <v>0</v>
      </c>
      <c r="U27" s="1" t="str" cm="1">
        <f t="array" ref="U27">_xlfn.IFS(T27=0,"null",T27="A","absent", T27&gt;=89,"A",T27&gt;=77,"B",T27&gt;=65,"C",T27&gt;=53,"D",T27&gt;=41,"E",T27&lt;=40,"F")</f>
        <v>null</v>
      </c>
    </row>
    <row r="28" spans="1:21" x14ac:dyDescent="0.35">
      <c r="B28" s="2">
        <v>4</v>
      </c>
      <c r="D28">
        <v>3</v>
      </c>
      <c r="F28" s="1">
        <v>2</v>
      </c>
      <c r="H28" s="1">
        <v>1</v>
      </c>
      <c r="J28" s="1">
        <v>0</v>
      </c>
      <c r="L28" s="1">
        <v>0</v>
      </c>
      <c r="N28" s="1">
        <v>0</v>
      </c>
      <c r="P28" s="1">
        <v>0</v>
      </c>
      <c r="R28" s="1">
        <v>0</v>
      </c>
      <c r="T28" s="6">
        <f t="shared" si="0"/>
        <v>0</v>
      </c>
      <c r="U28" s="1" t="str" cm="1">
        <f t="array" ref="U28">_xlfn.IFS(T28=0,"null",T28="A","absent", T28&gt;=89,"A",T28&gt;=77,"B",T28&gt;=65,"C",T28&gt;=53,"D",T28&gt;=41,"E",T28&lt;=40,"F")</f>
        <v>null</v>
      </c>
    </row>
    <row r="29" spans="1:21" x14ac:dyDescent="0.35">
      <c r="B29" s="2">
        <v>2</v>
      </c>
      <c r="D29">
        <v>3</v>
      </c>
      <c r="F29" s="1">
        <v>2</v>
      </c>
      <c r="H29" s="1">
        <v>0</v>
      </c>
      <c r="J29" s="1">
        <v>0</v>
      </c>
      <c r="L29" s="1">
        <v>0</v>
      </c>
      <c r="N29" s="1">
        <v>0</v>
      </c>
      <c r="P29" s="1">
        <v>0</v>
      </c>
      <c r="R29" s="1">
        <v>0</v>
      </c>
      <c r="T29" s="6">
        <f t="shared" si="0"/>
        <v>0</v>
      </c>
      <c r="U29" s="1" t="str" cm="1">
        <f t="array" ref="U29">_xlfn.IFS(T29=0,"null",T29="A","absent", T29&gt;=89,"A",T29&gt;=77,"B",T29&gt;=65,"C",T29&gt;=53,"D",T29&gt;=41,"E",T29&lt;=40,"F")</f>
        <v>null</v>
      </c>
    </row>
    <row r="30" spans="1:21" x14ac:dyDescent="0.35">
      <c r="B30" s="2">
        <v>0</v>
      </c>
      <c r="D30">
        <v>2</v>
      </c>
      <c r="F30" s="1">
        <v>2</v>
      </c>
      <c r="H30" s="1">
        <v>0</v>
      </c>
      <c r="J30" s="1">
        <v>0</v>
      </c>
      <c r="L30" s="1">
        <v>0</v>
      </c>
      <c r="N30" s="1">
        <v>0</v>
      </c>
      <c r="P30" s="1">
        <v>0</v>
      </c>
      <c r="R30" s="1">
        <v>0</v>
      </c>
      <c r="T30" s="6">
        <f t="shared" si="0"/>
        <v>0</v>
      </c>
      <c r="U30" s="1" t="str" cm="1">
        <f t="array" ref="U30">_xlfn.IFS(T30=0,"null",T30="A","absent", T30&gt;=89,"A",T30&gt;=77,"B",T30&gt;=65,"C",T30&gt;=53,"D",T30&gt;=41,"E",T30&lt;=40,"F")</f>
        <v>null</v>
      </c>
    </row>
    <row r="31" spans="1:21" x14ac:dyDescent="0.35">
      <c r="B31" s="2">
        <v>0</v>
      </c>
      <c r="D31">
        <v>0</v>
      </c>
      <c r="F31" s="1">
        <v>2</v>
      </c>
      <c r="H31" s="1">
        <v>0</v>
      </c>
      <c r="J31" s="1">
        <v>0</v>
      </c>
      <c r="L31" s="1">
        <v>0</v>
      </c>
      <c r="N31" s="1">
        <v>0</v>
      </c>
      <c r="P31" s="1">
        <v>0</v>
      </c>
      <c r="R31" s="1">
        <v>0</v>
      </c>
      <c r="T31" s="6">
        <f t="shared" si="0"/>
        <v>0</v>
      </c>
      <c r="U31" s="1" t="str" cm="1">
        <f t="array" ref="U31">_xlfn.IFS(T31=0,"null",T31="A","absent", T31&gt;=89,"A",T31&gt;=77,"B",T31&gt;=65,"C",T31&gt;=53,"D",T31&gt;=41,"E",T31&lt;=40,"F")</f>
        <v>null</v>
      </c>
    </row>
    <row r="32" spans="1:21" x14ac:dyDescent="0.35">
      <c r="A32" s="3">
        <v>6</v>
      </c>
      <c r="B32" s="2">
        <v>8</v>
      </c>
      <c r="C32" s="1">
        <f>SUM(B32:B37)</f>
        <v>17</v>
      </c>
      <c r="D32">
        <v>4</v>
      </c>
      <c r="E32" s="1">
        <f>SUM(D32:D37)</f>
        <v>11</v>
      </c>
      <c r="F32" s="1">
        <v>0</v>
      </c>
      <c r="G32" s="1">
        <f>SUM(F32:F37)</f>
        <v>0</v>
      </c>
      <c r="H32" s="1">
        <v>0</v>
      </c>
      <c r="I32" s="1">
        <f>SUM(H32:H37)</f>
        <v>0</v>
      </c>
      <c r="J32" s="1">
        <v>0</v>
      </c>
      <c r="K32" s="1">
        <f>SUM(J32:J37)</f>
        <v>0</v>
      </c>
      <c r="L32" s="1">
        <v>1</v>
      </c>
      <c r="M32" s="1">
        <f>SUM(L32:L37)</f>
        <v>1</v>
      </c>
      <c r="N32" s="1">
        <v>0</v>
      </c>
      <c r="O32" s="1">
        <f>SUM(N32:N37)</f>
        <v>0</v>
      </c>
      <c r="P32" s="1">
        <v>5</v>
      </c>
      <c r="Q32" s="1">
        <f>SUM(P32:P37)</f>
        <v>5</v>
      </c>
      <c r="R32" s="1">
        <v>5</v>
      </c>
      <c r="S32" s="1">
        <f>SUM(R32:R37)</f>
        <v>5</v>
      </c>
      <c r="T32" s="6">
        <f t="shared" si="0"/>
        <v>39</v>
      </c>
      <c r="U32" s="1" t="str">
        <f>_xlfn.IFS(T32=0,"null",T32="A","absent", T32&gt;=95,"A",T32&gt;=81,"B",T32&gt;=65,"C",T32&gt;=50,"D",T32&gt;=39,"E",T32&lt;39,"F")</f>
        <v>E</v>
      </c>
    </row>
    <row r="33" spans="1:21" x14ac:dyDescent="0.35">
      <c r="B33" s="2">
        <v>3</v>
      </c>
      <c r="D33">
        <v>5</v>
      </c>
      <c r="F33" s="1">
        <v>0</v>
      </c>
      <c r="H33" s="1">
        <v>0</v>
      </c>
      <c r="J33" s="1">
        <v>0</v>
      </c>
      <c r="L33" s="1">
        <v>0</v>
      </c>
      <c r="N33" s="1">
        <v>0</v>
      </c>
      <c r="P33" s="1">
        <v>0</v>
      </c>
      <c r="R33" s="1">
        <v>0</v>
      </c>
      <c r="T33" s="6">
        <f t="shared" si="0"/>
        <v>0</v>
      </c>
      <c r="U33" s="1" t="str" cm="1">
        <f t="array" ref="U33">_xlfn.IFS(T33=0,"null",T33="A","absent", T33&gt;=89,"A",T33&gt;=77,"B",T33&gt;=65,"C",T33&gt;=53,"D",T33&gt;=41,"E",T33&lt;=40,"F")</f>
        <v>null</v>
      </c>
    </row>
    <row r="34" spans="1:21" x14ac:dyDescent="0.35">
      <c r="B34" s="2">
        <v>4</v>
      </c>
      <c r="D34">
        <v>0</v>
      </c>
      <c r="F34" s="1">
        <v>0</v>
      </c>
      <c r="H34" s="1">
        <v>0</v>
      </c>
      <c r="J34" s="1">
        <v>0</v>
      </c>
      <c r="L34" s="1">
        <v>0</v>
      </c>
      <c r="N34" s="1">
        <v>0</v>
      </c>
      <c r="P34" s="1">
        <v>0</v>
      </c>
      <c r="R34" s="1">
        <v>0</v>
      </c>
      <c r="T34" s="6">
        <f t="shared" si="0"/>
        <v>0</v>
      </c>
      <c r="U34" s="1" t="str" cm="1">
        <f t="array" ref="U34">_xlfn.IFS(T34=0,"null",T34="A","absent", T34&gt;=89,"A",T34&gt;=77,"B",T34&gt;=65,"C",T34&gt;=53,"D",T34&gt;=41,"E",T34&lt;=40,"F")</f>
        <v>null</v>
      </c>
    </row>
    <row r="35" spans="1:21" x14ac:dyDescent="0.35">
      <c r="B35" s="2">
        <v>2</v>
      </c>
      <c r="D35">
        <v>1</v>
      </c>
      <c r="F35" s="1">
        <v>0</v>
      </c>
      <c r="H35" s="1">
        <v>0</v>
      </c>
      <c r="J35" s="1">
        <v>0</v>
      </c>
      <c r="L35" s="1">
        <v>0</v>
      </c>
      <c r="N35" s="1">
        <v>0</v>
      </c>
      <c r="P35" s="1">
        <v>0</v>
      </c>
      <c r="R35" s="1">
        <v>0</v>
      </c>
      <c r="T35" s="6">
        <f t="shared" si="0"/>
        <v>0</v>
      </c>
      <c r="U35" s="1" t="str" cm="1">
        <f t="array" ref="U35">_xlfn.IFS(T35=0,"null",T35="A","absent", T35&gt;=89,"A",T35&gt;=77,"B",T35&gt;=65,"C",T35&gt;=53,"D",T35&gt;=41,"E",T35&lt;=40,"F")</f>
        <v>null</v>
      </c>
    </row>
    <row r="36" spans="1:21" x14ac:dyDescent="0.35">
      <c r="B36" s="2">
        <v>0</v>
      </c>
      <c r="D36">
        <v>1</v>
      </c>
      <c r="F36" s="1">
        <v>0</v>
      </c>
      <c r="H36" s="1">
        <v>0</v>
      </c>
      <c r="J36" s="1">
        <v>0</v>
      </c>
      <c r="L36" s="1">
        <v>0</v>
      </c>
      <c r="N36" s="1">
        <v>0</v>
      </c>
      <c r="P36" s="1">
        <v>0</v>
      </c>
      <c r="R36" s="1">
        <v>0</v>
      </c>
      <c r="T36" s="6">
        <f t="shared" si="0"/>
        <v>0</v>
      </c>
      <c r="U36" s="1" t="str" cm="1">
        <f t="array" ref="U36">_xlfn.IFS(T36=0,"null",T36="A","absent", T36&gt;=89,"A",T36&gt;=77,"B",T36&gt;=65,"C",T36&gt;=53,"D",T36&gt;=41,"E",T36&lt;=40,"F")</f>
        <v>null</v>
      </c>
    </row>
    <row r="37" spans="1:21" x14ac:dyDescent="0.35">
      <c r="B37" s="2">
        <v>0</v>
      </c>
      <c r="D37">
        <v>0</v>
      </c>
      <c r="F37" s="1">
        <v>0</v>
      </c>
      <c r="H37" s="1">
        <v>0</v>
      </c>
      <c r="J37" s="1">
        <v>0</v>
      </c>
      <c r="L37" s="1">
        <v>0</v>
      </c>
      <c r="N37" s="1">
        <v>0</v>
      </c>
      <c r="P37" s="1">
        <v>0</v>
      </c>
      <c r="R37" s="1">
        <v>0</v>
      </c>
      <c r="T37" s="6">
        <f t="shared" si="0"/>
        <v>0</v>
      </c>
      <c r="U37" s="1" t="str" cm="1">
        <f t="array" ref="U37">_xlfn.IFS(T37=0,"null",T37="A","absent", T37&gt;=89,"A",T37&gt;=77,"B",T37&gt;=65,"C",T37&gt;=53,"D",T37&gt;=41,"E",T37&lt;=40,"F")</f>
        <v>null</v>
      </c>
    </row>
    <row r="38" spans="1:21" x14ac:dyDescent="0.35">
      <c r="A38" s="3">
        <v>7</v>
      </c>
      <c r="B38" s="2">
        <v>8</v>
      </c>
      <c r="C38" s="1">
        <f>SUM(B38:B43)</f>
        <v>11</v>
      </c>
      <c r="D38">
        <v>4</v>
      </c>
      <c r="E38" s="1">
        <f>SUM(D38:D43)</f>
        <v>9</v>
      </c>
      <c r="F38" s="1">
        <v>10</v>
      </c>
      <c r="G38" s="1">
        <f>SUM(F38:F43)</f>
        <v>20</v>
      </c>
      <c r="H38" s="1">
        <v>0</v>
      </c>
      <c r="I38" s="1">
        <f>SUM(H38:H43)</f>
        <v>0</v>
      </c>
      <c r="J38" s="1">
        <v>6</v>
      </c>
      <c r="K38" s="1">
        <f>SUM(J38:J43)</f>
        <v>10</v>
      </c>
      <c r="L38" s="1">
        <v>5</v>
      </c>
      <c r="M38" s="1">
        <f>SUM(L38:L43)</f>
        <v>5</v>
      </c>
      <c r="N38" s="1">
        <v>3</v>
      </c>
      <c r="O38" s="1">
        <f>SUM(N38:N43)</f>
        <v>3</v>
      </c>
      <c r="P38" s="1">
        <v>5</v>
      </c>
      <c r="Q38" s="1">
        <f>SUM(P38:P43)</f>
        <v>5</v>
      </c>
      <c r="R38" s="1">
        <v>5</v>
      </c>
      <c r="S38" s="1">
        <f>SUM(R38:R43)</f>
        <v>5</v>
      </c>
      <c r="T38" s="6">
        <f t="shared" si="0"/>
        <v>68</v>
      </c>
      <c r="U38" s="1" t="str">
        <f>_xlfn.IFS(T38=0,"null",T38="A","absent", T38&gt;=95,"A",T38&gt;=81,"B",T38&gt;=65,"C",T38&gt;=50,"D",T38&gt;=39,"E",T38&lt;39,"F")</f>
        <v>C</v>
      </c>
    </row>
    <row r="39" spans="1:21" x14ac:dyDescent="0.35">
      <c r="B39" s="2">
        <v>3</v>
      </c>
      <c r="D39">
        <v>0</v>
      </c>
      <c r="F39" s="1">
        <v>2</v>
      </c>
      <c r="H39" s="1">
        <v>0</v>
      </c>
      <c r="J39" s="1">
        <v>4</v>
      </c>
      <c r="L39" s="1">
        <v>0</v>
      </c>
      <c r="N39" s="1">
        <v>0</v>
      </c>
      <c r="P39" s="1">
        <v>0</v>
      </c>
      <c r="R39" s="1">
        <v>0</v>
      </c>
      <c r="T39" s="6">
        <f t="shared" si="0"/>
        <v>0</v>
      </c>
      <c r="U39" s="1" t="str" cm="1">
        <f t="array" ref="U39">_xlfn.IFS(T39=0,"null",T39="A","absent", T39&gt;=89,"A",T39&gt;=77,"B",T39&gt;=65,"C",T39&gt;=53,"D",T39&gt;=41,"E",T39&lt;=40,"F")</f>
        <v>null</v>
      </c>
    </row>
    <row r="40" spans="1:21" x14ac:dyDescent="0.35">
      <c r="B40" s="2">
        <v>0</v>
      </c>
      <c r="D40">
        <v>3</v>
      </c>
      <c r="F40" s="1">
        <v>2</v>
      </c>
      <c r="H40" s="1">
        <v>0</v>
      </c>
      <c r="J40" s="1">
        <v>0</v>
      </c>
      <c r="L40" s="1">
        <v>0</v>
      </c>
      <c r="N40" s="1">
        <v>0</v>
      </c>
      <c r="P40" s="1">
        <v>0</v>
      </c>
      <c r="R40" s="1">
        <v>0</v>
      </c>
      <c r="T40" s="6">
        <f t="shared" si="0"/>
        <v>0</v>
      </c>
      <c r="U40" s="1" t="str" cm="1">
        <f t="array" ref="U40">_xlfn.IFS(T40=0,"null",T40="A","absent", T40&gt;=89,"A",T40&gt;=77,"B",T40&gt;=65,"C",T40&gt;=53,"D",T40&gt;=41,"E",T40&lt;=40,"F")</f>
        <v>null</v>
      </c>
    </row>
    <row r="41" spans="1:21" x14ac:dyDescent="0.35">
      <c r="B41" s="2">
        <v>0</v>
      </c>
      <c r="D41">
        <v>1</v>
      </c>
      <c r="F41" s="1">
        <v>2</v>
      </c>
      <c r="H41" s="1">
        <v>0</v>
      </c>
      <c r="J41" s="1">
        <v>0</v>
      </c>
      <c r="L41" s="1">
        <v>0</v>
      </c>
      <c r="N41" s="1">
        <v>0</v>
      </c>
      <c r="P41" s="1">
        <v>0</v>
      </c>
      <c r="R41" s="1">
        <v>0</v>
      </c>
      <c r="T41" s="6">
        <f t="shared" si="0"/>
        <v>0</v>
      </c>
      <c r="U41" s="1" t="str" cm="1">
        <f t="array" ref="U41">_xlfn.IFS(T41=0,"null",T41="A","absent", T41&gt;=89,"A",T41&gt;=77,"B",T41&gt;=65,"C",T41&gt;=53,"D",T41&gt;=41,"E",T41&lt;=40,"F")</f>
        <v>null</v>
      </c>
    </row>
    <row r="42" spans="1:21" x14ac:dyDescent="0.35">
      <c r="B42" s="2">
        <v>0</v>
      </c>
      <c r="D42">
        <v>1</v>
      </c>
      <c r="F42" s="1">
        <v>2</v>
      </c>
      <c r="H42" s="1">
        <v>0</v>
      </c>
      <c r="J42" s="1">
        <v>0</v>
      </c>
      <c r="L42" s="1">
        <v>0</v>
      </c>
      <c r="N42" s="1">
        <v>0</v>
      </c>
      <c r="P42" s="1">
        <v>0</v>
      </c>
      <c r="R42" s="1">
        <v>0</v>
      </c>
      <c r="T42" s="6">
        <f t="shared" si="0"/>
        <v>0</v>
      </c>
      <c r="U42" s="1" t="str" cm="1">
        <f t="array" ref="U42">_xlfn.IFS(T42=0,"null",T42="A","absent", T42&gt;=89,"A",T42&gt;=77,"B",T42&gt;=65,"C",T42&gt;=53,"D",T42&gt;=41,"E",T42&lt;=40,"F")</f>
        <v>null</v>
      </c>
    </row>
    <row r="43" spans="1:21" x14ac:dyDescent="0.35">
      <c r="B43" s="2">
        <v>0</v>
      </c>
      <c r="D43">
        <v>0</v>
      </c>
      <c r="F43" s="1">
        <v>2</v>
      </c>
      <c r="H43" s="1">
        <v>0</v>
      </c>
      <c r="J43" s="1">
        <v>0</v>
      </c>
      <c r="L43" s="1">
        <v>0</v>
      </c>
      <c r="N43" s="1">
        <v>0</v>
      </c>
      <c r="P43" s="1">
        <v>0</v>
      </c>
      <c r="R43" s="1">
        <v>0</v>
      </c>
      <c r="T43" s="6">
        <f t="shared" si="0"/>
        <v>0</v>
      </c>
      <c r="U43" s="1" t="str" cm="1">
        <f t="array" ref="U43">_xlfn.IFS(T43=0,"null",T43="A","absent", T43&gt;=89,"A",T43&gt;=77,"B",T43&gt;=65,"C",T43&gt;=53,"D",T43&gt;=41,"E",T43&lt;=40,"F")</f>
        <v>null</v>
      </c>
    </row>
    <row r="44" spans="1:21" x14ac:dyDescent="0.35">
      <c r="A44" s="3">
        <v>8</v>
      </c>
      <c r="B44" s="2">
        <v>8</v>
      </c>
      <c r="C44" s="1">
        <f>SUM(B44:B49)</f>
        <v>15</v>
      </c>
      <c r="D44">
        <v>4</v>
      </c>
      <c r="E44" s="1">
        <f>SUM(D44:D49)</f>
        <v>17</v>
      </c>
      <c r="F44" s="1">
        <v>10</v>
      </c>
      <c r="G44" s="1">
        <f>SUM(F44:F49)</f>
        <v>20</v>
      </c>
      <c r="H44" s="1">
        <v>4</v>
      </c>
      <c r="I44" s="1">
        <f>SUM(H44:H49)</f>
        <v>4</v>
      </c>
      <c r="J44" s="1">
        <v>2</v>
      </c>
      <c r="K44" s="1">
        <f>SUM(J44:J49)</f>
        <v>2</v>
      </c>
      <c r="L44" s="1">
        <v>1</v>
      </c>
      <c r="M44" s="1">
        <f>SUM(L44:L49)</f>
        <v>1</v>
      </c>
      <c r="N44" s="1">
        <v>3</v>
      </c>
      <c r="O44" s="1">
        <f>SUM(N44:N49)</f>
        <v>3</v>
      </c>
      <c r="P44" s="1">
        <v>2</v>
      </c>
      <c r="Q44" s="1">
        <f>SUM(P44:P49)</f>
        <v>2</v>
      </c>
      <c r="R44" s="1">
        <v>3</v>
      </c>
      <c r="S44" s="1">
        <f>SUM(R44:R49)</f>
        <v>3</v>
      </c>
      <c r="T44" s="6">
        <f t="shared" si="0"/>
        <v>67</v>
      </c>
      <c r="U44" s="1" t="str">
        <f>_xlfn.IFS(T44=0,"null",T44="A","absent", T44&gt;=95,"A",T44&gt;=81,"B",T44&gt;=65,"C",T44&gt;=50,"D",T44&gt;=39,"E",T44&lt;39,"F")</f>
        <v>C</v>
      </c>
    </row>
    <row r="45" spans="1:21" x14ac:dyDescent="0.35">
      <c r="B45" s="2">
        <v>3</v>
      </c>
      <c r="D45">
        <v>8</v>
      </c>
      <c r="F45" s="1">
        <v>2</v>
      </c>
      <c r="H45" s="1">
        <v>0</v>
      </c>
      <c r="J45" s="1">
        <v>0</v>
      </c>
      <c r="L45" s="1">
        <v>0</v>
      </c>
      <c r="N45" s="1">
        <v>0</v>
      </c>
      <c r="P45" s="1">
        <v>0</v>
      </c>
      <c r="R45" s="1">
        <v>0</v>
      </c>
      <c r="T45" s="6">
        <f t="shared" si="0"/>
        <v>0</v>
      </c>
      <c r="U45" s="1" t="str" cm="1">
        <f t="array" ref="U45">_xlfn.IFS(T45=0,"null",T45="A","absent", T45&gt;=89,"A",T45&gt;=77,"B",T45&gt;=65,"C",T45&gt;=53,"D",T45&gt;=41,"E",T45&lt;=40,"F")</f>
        <v>null</v>
      </c>
    </row>
    <row r="46" spans="1:21" x14ac:dyDescent="0.35">
      <c r="B46" s="2">
        <v>2</v>
      </c>
      <c r="D46">
        <v>2</v>
      </c>
      <c r="F46" s="1">
        <v>2</v>
      </c>
      <c r="H46" s="1">
        <v>0</v>
      </c>
      <c r="J46" s="1">
        <v>0</v>
      </c>
      <c r="L46" s="1">
        <v>0</v>
      </c>
      <c r="N46" s="1">
        <v>0</v>
      </c>
      <c r="P46" s="1">
        <v>0</v>
      </c>
      <c r="R46" s="1">
        <v>0</v>
      </c>
      <c r="T46" s="6">
        <f t="shared" si="0"/>
        <v>0</v>
      </c>
      <c r="U46" s="1" t="str" cm="1">
        <f t="array" ref="U46">_xlfn.IFS(T46=0,"null",T46="A","absent", T46&gt;=89,"A",T46&gt;=77,"B",T46&gt;=65,"C",T46&gt;=53,"D",T46&gt;=41,"E",T46&lt;=40,"F")</f>
        <v>null</v>
      </c>
    </row>
    <row r="47" spans="1:21" x14ac:dyDescent="0.35">
      <c r="B47" s="2">
        <v>2</v>
      </c>
      <c r="D47">
        <v>2</v>
      </c>
      <c r="F47" s="1">
        <v>2</v>
      </c>
      <c r="H47" s="1">
        <v>0</v>
      </c>
      <c r="J47" s="1">
        <v>0</v>
      </c>
      <c r="L47" s="1">
        <v>0</v>
      </c>
      <c r="N47" s="1">
        <v>0</v>
      </c>
      <c r="P47" s="1">
        <v>0</v>
      </c>
      <c r="R47" s="1">
        <v>0</v>
      </c>
      <c r="T47" s="6">
        <f t="shared" si="0"/>
        <v>0</v>
      </c>
      <c r="U47" s="1" t="str" cm="1">
        <f t="array" ref="U47">_xlfn.IFS(T47=0,"null",T47="A","absent", T47&gt;=89,"A",T47&gt;=77,"B",T47&gt;=65,"C",T47&gt;=53,"D",T47&gt;=41,"E",T47&lt;=40,"F")</f>
        <v>null</v>
      </c>
    </row>
    <row r="48" spans="1:21" x14ac:dyDescent="0.35">
      <c r="B48" s="2">
        <v>0</v>
      </c>
      <c r="D48">
        <v>1</v>
      </c>
      <c r="F48" s="1">
        <v>2</v>
      </c>
      <c r="H48" s="1">
        <v>0</v>
      </c>
      <c r="J48" s="1">
        <v>0</v>
      </c>
      <c r="L48" s="1">
        <v>0</v>
      </c>
      <c r="N48" s="1">
        <v>0</v>
      </c>
      <c r="P48" s="1">
        <v>0</v>
      </c>
      <c r="R48" s="1">
        <v>0</v>
      </c>
      <c r="T48" s="6">
        <f t="shared" si="0"/>
        <v>0</v>
      </c>
      <c r="U48" s="1" t="str" cm="1">
        <f t="array" ref="U48">_xlfn.IFS(T48=0,"null",T48="A","absent", T48&gt;=89,"A",T48&gt;=77,"B",T48&gt;=65,"C",T48&gt;=53,"D",T48&gt;=41,"E",T48&lt;=40,"F")</f>
        <v>null</v>
      </c>
    </row>
    <row r="49" spans="1:21" x14ac:dyDescent="0.35">
      <c r="B49" s="2">
        <v>0</v>
      </c>
      <c r="D49">
        <v>0</v>
      </c>
      <c r="F49" s="1">
        <v>2</v>
      </c>
      <c r="H49" s="1">
        <v>0</v>
      </c>
      <c r="J49" s="1">
        <v>0</v>
      </c>
      <c r="L49" s="1">
        <v>0</v>
      </c>
      <c r="N49" s="1">
        <v>0</v>
      </c>
      <c r="P49" s="1">
        <v>0</v>
      </c>
      <c r="R49" s="1">
        <v>0</v>
      </c>
      <c r="T49" s="6">
        <f t="shared" si="0"/>
        <v>0</v>
      </c>
      <c r="U49" s="1" t="str" cm="1">
        <f t="array" ref="U49">_xlfn.IFS(T49=0,"null",T49="A","absent", T49&gt;=89,"A",T49&gt;=77,"B",T49&gt;=65,"C",T49&gt;=53,"D",T49&gt;=41,"E",T49&lt;=40,"F")</f>
        <v>null</v>
      </c>
    </row>
    <row r="50" spans="1:21" x14ac:dyDescent="0.35">
      <c r="A50" s="3">
        <v>9</v>
      </c>
      <c r="B50" s="2">
        <v>8</v>
      </c>
      <c r="C50" s="1">
        <f>SUM(B50:B55)</f>
        <v>8</v>
      </c>
      <c r="D50">
        <v>4</v>
      </c>
      <c r="E50" s="1">
        <f>SUM(D50:D55)</f>
        <v>10</v>
      </c>
      <c r="F50" s="1">
        <v>0</v>
      </c>
      <c r="G50" s="1">
        <f>SUM(F50:F55)</f>
        <v>0</v>
      </c>
      <c r="H50" s="1">
        <v>0</v>
      </c>
      <c r="I50" s="1">
        <f>SUM(H50:H55)</f>
        <v>0</v>
      </c>
      <c r="J50" s="1">
        <v>0</v>
      </c>
      <c r="K50" s="1">
        <f>SUM(J50:J55)</f>
        <v>0</v>
      </c>
      <c r="L50" s="1">
        <v>1</v>
      </c>
      <c r="M50" s="1">
        <f>SUM(L50:L55)</f>
        <v>1</v>
      </c>
      <c r="N50" s="1">
        <v>3</v>
      </c>
      <c r="O50" s="1">
        <f>SUM(N50:N55)</f>
        <v>3</v>
      </c>
      <c r="P50" s="1">
        <v>5</v>
      </c>
      <c r="Q50" s="1">
        <f>SUM(P50:P55)</f>
        <v>5</v>
      </c>
      <c r="R50" s="1">
        <v>5</v>
      </c>
      <c r="S50" s="1">
        <f>SUM(R50:R55)</f>
        <v>5</v>
      </c>
      <c r="T50" s="6">
        <f t="shared" si="0"/>
        <v>32</v>
      </c>
      <c r="U50" s="1" t="str">
        <f>_xlfn.IFS(T50=0,"null",T50="A","absent", T50&gt;=95,"A",T50&gt;=81,"B",T50&gt;=65,"C",T50&gt;=50,"D",T50&gt;=39,"E",T50&lt;39,"F")</f>
        <v>F</v>
      </c>
    </row>
    <row r="51" spans="1:21" x14ac:dyDescent="0.35">
      <c r="B51" s="2">
        <v>0</v>
      </c>
      <c r="D51">
        <v>3</v>
      </c>
      <c r="F51" s="1">
        <v>0</v>
      </c>
      <c r="H51" s="1">
        <v>0</v>
      </c>
      <c r="J51" s="1">
        <v>0</v>
      </c>
      <c r="L51" s="1">
        <v>0</v>
      </c>
      <c r="N51" s="1">
        <v>0</v>
      </c>
      <c r="P51" s="1">
        <v>0</v>
      </c>
      <c r="R51" s="1">
        <v>0</v>
      </c>
      <c r="T51" s="6">
        <f t="shared" si="0"/>
        <v>0</v>
      </c>
      <c r="U51" s="1" t="str" cm="1">
        <f t="array" ref="U51">_xlfn.IFS(T51=0,"null",T51="A","absent", T51&gt;=89,"A",T51&gt;=77,"B",T51&gt;=65,"C",T51&gt;=53,"D",T51&gt;=41,"E",T51&lt;=40,"F")</f>
        <v>null</v>
      </c>
    </row>
    <row r="52" spans="1:21" x14ac:dyDescent="0.35">
      <c r="B52" s="2">
        <v>0</v>
      </c>
      <c r="D52">
        <v>1</v>
      </c>
      <c r="F52" s="1">
        <v>0</v>
      </c>
      <c r="H52" s="1">
        <v>0</v>
      </c>
      <c r="J52" s="1">
        <v>0</v>
      </c>
      <c r="L52" s="1">
        <v>0</v>
      </c>
      <c r="N52" s="1">
        <v>0</v>
      </c>
      <c r="P52" s="1">
        <v>0</v>
      </c>
      <c r="R52" s="1">
        <v>0</v>
      </c>
      <c r="T52" s="6">
        <f t="shared" si="0"/>
        <v>0</v>
      </c>
      <c r="U52" s="1" t="str" cm="1">
        <f t="array" ref="U52">_xlfn.IFS(T52=0,"null",T52="A","absent", T52&gt;=89,"A",T52&gt;=77,"B",T52&gt;=65,"C",T52&gt;=53,"D",T52&gt;=41,"E",T52&lt;=40,"F")</f>
        <v>null</v>
      </c>
    </row>
    <row r="53" spans="1:21" x14ac:dyDescent="0.35">
      <c r="B53" s="2">
        <v>0</v>
      </c>
      <c r="D53">
        <v>1</v>
      </c>
      <c r="F53" s="1">
        <v>0</v>
      </c>
      <c r="H53" s="1">
        <v>0</v>
      </c>
      <c r="J53" s="1">
        <v>0</v>
      </c>
      <c r="L53" s="1">
        <v>0</v>
      </c>
      <c r="N53" s="1">
        <v>0</v>
      </c>
      <c r="P53" s="1">
        <v>0</v>
      </c>
      <c r="R53" s="1">
        <v>0</v>
      </c>
      <c r="T53" s="6">
        <f t="shared" si="0"/>
        <v>0</v>
      </c>
      <c r="U53" s="1" t="str" cm="1">
        <f t="array" ref="U53">_xlfn.IFS(T53=0,"null",T53="A","absent", T53&gt;=89,"A",T53&gt;=77,"B",T53&gt;=65,"C",T53&gt;=53,"D",T53&gt;=41,"E",T53&lt;=40,"F")</f>
        <v>null</v>
      </c>
    </row>
    <row r="54" spans="1:21" x14ac:dyDescent="0.35">
      <c r="B54" s="2">
        <v>0</v>
      </c>
      <c r="D54">
        <v>1</v>
      </c>
      <c r="F54" s="1">
        <v>0</v>
      </c>
      <c r="H54" s="1">
        <v>0</v>
      </c>
      <c r="J54" s="1">
        <v>0</v>
      </c>
      <c r="L54" s="1">
        <v>0</v>
      </c>
      <c r="N54" s="1">
        <v>0</v>
      </c>
      <c r="P54" s="1">
        <v>0</v>
      </c>
      <c r="R54" s="1">
        <v>0</v>
      </c>
      <c r="T54" s="6">
        <f t="shared" si="0"/>
        <v>0</v>
      </c>
      <c r="U54" s="1" t="str" cm="1">
        <f t="array" ref="U54">_xlfn.IFS(T54=0,"null",T54="A","absent", T54&gt;=89,"A",T54&gt;=77,"B",T54&gt;=65,"C",T54&gt;=53,"D",T54&gt;=41,"E",T54&lt;=40,"F")</f>
        <v>null</v>
      </c>
    </row>
    <row r="55" spans="1:21" x14ac:dyDescent="0.35">
      <c r="B55" s="2">
        <v>0</v>
      </c>
      <c r="D55">
        <v>0</v>
      </c>
      <c r="F55" s="1">
        <v>0</v>
      </c>
      <c r="H55" s="1">
        <v>0</v>
      </c>
      <c r="J55" s="1">
        <v>0</v>
      </c>
      <c r="L55" s="1">
        <v>0</v>
      </c>
      <c r="N55" s="1">
        <v>0</v>
      </c>
      <c r="P55" s="1">
        <v>0</v>
      </c>
      <c r="R55" s="1">
        <v>0</v>
      </c>
      <c r="T55" s="6">
        <f t="shared" si="0"/>
        <v>0</v>
      </c>
      <c r="U55" s="1" t="str" cm="1">
        <f t="array" ref="U55">_xlfn.IFS(T55=0,"null",T55="A","absent", T55&gt;=89,"A",T55&gt;=77,"B",T55&gt;=65,"C",T55&gt;=53,"D",T55&gt;=41,"E",T55&lt;=40,"F")</f>
        <v>null</v>
      </c>
    </row>
    <row r="56" spans="1:21" x14ac:dyDescent="0.35">
      <c r="A56" s="3">
        <v>10</v>
      </c>
      <c r="B56" s="2">
        <v>8</v>
      </c>
      <c r="C56" s="1">
        <f>SUM(B56:B61)</f>
        <v>11</v>
      </c>
      <c r="D56">
        <v>2</v>
      </c>
      <c r="E56" s="1">
        <f>SUM(D56:D61)</f>
        <v>7</v>
      </c>
      <c r="F56" s="1">
        <v>10</v>
      </c>
      <c r="G56" s="1">
        <f>SUM(F56:F61)</f>
        <v>14</v>
      </c>
      <c r="H56" s="1">
        <v>0</v>
      </c>
      <c r="I56" s="1">
        <f>SUM(H56:H61)</f>
        <v>0</v>
      </c>
      <c r="J56" s="1">
        <v>1</v>
      </c>
      <c r="K56" s="1">
        <f>SUM(J56:J61)</f>
        <v>1</v>
      </c>
      <c r="L56" s="1">
        <v>2</v>
      </c>
      <c r="M56" s="1">
        <f>SUM(L56:L61)</f>
        <v>2</v>
      </c>
      <c r="N56" s="1">
        <v>3</v>
      </c>
      <c r="O56" s="1">
        <f>SUM(N56:N61)</f>
        <v>3</v>
      </c>
      <c r="P56" s="1">
        <v>5</v>
      </c>
      <c r="Q56" s="1">
        <f>SUM(P56:P61)</f>
        <v>5</v>
      </c>
      <c r="R56" s="1">
        <v>5</v>
      </c>
      <c r="S56" s="1">
        <f>SUM(R56:R61)</f>
        <v>5</v>
      </c>
      <c r="T56" s="6">
        <f t="shared" si="0"/>
        <v>48</v>
      </c>
      <c r="U56" s="1" t="str">
        <f>_xlfn.IFS(T56=0,"null",T56="A","absent", T56&gt;=95,"A",T56&gt;=81,"B",T56&gt;=65,"C",T56&gt;=50,"D",T56&gt;=39,"E",T56&lt;39,"F")</f>
        <v>E</v>
      </c>
    </row>
    <row r="57" spans="1:21" x14ac:dyDescent="0.35">
      <c r="B57" s="2">
        <v>3</v>
      </c>
      <c r="D57">
        <v>0</v>
      </c>
      <c r="F57" s="1">
        <v>2</v>
      </c>
      <c r="H57" s="1">
        <v>0</v>
      </c>
      <c r="J57" s="1">
        <v>0</v>
      </c>
      <c r="L57" s="1">
        <v>0</v>
      </c>
      <c r="N57" s="1">
        <v>0</v>
      </c>
      <c r="P57" s="1">
        <v>0</v>
      </c>
      <c r="R57" s="1">
        <v>0</v>
      </c>
      <c r="T57" s="6">
        <f t="shared" si="0"/>
        <v>0</v>
      </c>
      <c r="U57" s="1" t="str" cm="1">
        <f t="array" ref="U57">_xlfn.IFS(T57=0,"null",T57="A","absent", T57&gt;=89,"A",T57&gt;=77,"B",T57&gt;=65,"C",T57&gt;=53,"D",T57&gt;=41,"E",T57&lt;=40,"F")</f>
        <v>null</v>
      </c>
    </row>
    <row r="58" spans="1:21" x14ac:dyDescent="0.35">
      <c r="B58" s="2">
        <v>0</v>
      </c>
      <c r="D58">
        <v>3</v>
      </c>
      <c r="F58" s="1">
        <v>2</v>
      </c>
      <c r="H58" s="1">
        <v>0</v>
      </c>
      <c r="J58" s="1">
        <v>0</v>
      </c>
      <c r="L58" s="1">
        <v>0</v>
      </c>
      <c r="N58" s="1">
        <v>0</v>
      </c>
      <c r="P58" s="1">
        <v>0</v>
      </c>
      <c r="R58" s="1">
        <v>0</v>
      </c>
      <c r="T58" s="6">
        <f t="shared" si="0"/>
        <v>0</v>
      </c>
      <c r="U58" s="1" t="str" cm="1">
        <f t="array" ref="U58">_xlfn.IFS(T58=0,"null",T58="A","absent", T58&gt;=89,"A",T58&gt;=77,"B",T58&gt;=65,"C",T58&gt;=53,"D",T58&gt;=41,"E",T58&lt;=40,"F")</f>
        <v>null</v>
      </c>
    </row>
    <row r="59" spans="1:21" x14ac:dyDescent="0.35">
      <c r="B59" s="2">
        <v>0</v>
      </c>
      <c r="D59">
        <v>1</v>
      </c>
      <c r="F59" s="1">
        <v>0</v>
      </c>
      <c r="H59" s="1">
        <v>0</v>
      </c>
      <c r="J59" s="1">
        <v>0</v>
      </c>
      <c r="L59" s="1">
        <v>0</v>
      </c>
      <c r="N59" s="1">
        <v>0</v>
      </c>
      <c r="P59" s="1">
        <v>0</v>
      </c>
      <c r="R59" s="1">
        <v>0</v>
      </c>
      <c r="T59" s="6">
        <f t="shared" si="0"/>
        <v>0</v>
      </c>
      <c r="U59" s="1" t="str" cm="1">
        <f t="array" ref="U59">_xlfn.IFS(T59=0,"null",T59="A","absent", T59&gt;=89,"A",T59&gt;=77,"B",T59&gt;=65,"C",T59&gt;=53,"D",T59&gt;=41,"E",T59&lt;=40,"F")</f>
        <v>null</v>
      </c>
    </row>
    <row r="60" spans="1:21" x14ac:dyDescent="0.35">
      <c r="B60" s="2">
        <v>0</v>
      </c>
      <c r="D60">
        <v>1</v>
      </c>
      <c r="F60" s="1">
        <v>0</v>
      </c>
      <c r="H60" s="1">
        <v>0</v>
      </c>
      <c r="J60" s="1">
        <v>0</v>
      </c>
      <c r="L60" s="1">
        <v>0</v>
      </c>
      <c r="N60" s="1">
        <v>0</v>
      </c>
      <c r="P60" s="1">
        <v>0</v>
      </c>
      <c r="R60" s="1">
        <v>0</v>
      </c>
      <c r="T60" s="6">
        <f t="shared" si="0"/>
        <v>0</v>
      </c>
      <c r="U60" s="1" t="str" cm="1">
        <f t="array" ref="U60">_xlfn.IFS(T60=0,"null",T60="A","absent", T60&gt;=89,"A",T60&gt;=77,"B",T60&gt;=65,"C",T60&gt;=53,"D",T60&gt;=41,"E",T60&lt;=40,"F")</f>
        <v>null</v>
      </c>
    </row>
    <row r="61" spans="1:21" x14ac:dyDescent="0.35">
      <c r="B61" s="2">
        <v>0</v>
      </c>
      <c r="D61">
        <v>0</v>
      </c>
      <c r="F61" s="1">
        <v>0</v>
      </c>
      <c r="H61" s="1">
        <v>0</v>
      </c>
      <c r="J61" s="1">
        <v>0</v>
      </c>
      <c r="L61" s="1">
        <v>0</v>
      </c>
      <c r="N61" s="1">
        <v>0</v>
      </c>
      <c r="P61" s="1">
        <v>0</v>
      </c>
      <c r="R61" s="1">
        <v>0</v>
      </c>
      <c r="T61" s="6">
        <f t="shared" si="0"/>
        <v>0</v>
      </c>
      <c r="U61" s="1" t="str" cm="1">
        <f t="array" ref="U61">_xlfn.IFS(T61=0,"null",T61="A","absent", T61&gt;=89,"A",T61&gt;=77,"B",T61&gt;=65,"C",T61&gt;=53,"D",T61&gt;=41,"E",T61&lt;=40,"F")</f>
        <v>null</v>
      </c>
    </row>
    <row r="62" spans="1:21" ht="14" customHeight="1" x14ac:dyDescent="0.35">
      <c r="A62" s="3">
        <v>11</v>
      </c>
      <c r="B62" s="2">
        <v>8</v>
      </c>
      <c r="C62" s="1">
        <f>SUM(B62:B67)</f>
        <v>11</v>
      </c>
      <c r="D62">
        <v>4</v>
      </c>
      <c r="E62" s="1">
        <f>SUM(D62:D67)</f>
        <v>20</v>
      </c>
      <c r="F62" s="1">
        <v>10</v>
      </c>
      <c r="G62" s="1">
        <f>SUM(F62:F67)</f>
        <v>20</v>
      </c>
      <c r="H62" s="1">
        <v>5</v>
      </c>
      <c r="I62" s="1">
        <f>SUM(H62:H67)</f>
        <v>8</v>
      </c>
      <c r="J62" s="1">
        <v>6</v>
      </c>
      <c r="K62" s="1">
        <f>SUM(J62:J67)</f>
        <v>10</v>
      </c>
      <c r="L62" s="1">
        <v>5</v>
      </c>
      <c r="M62" s="1">
        <f>SUM(L62:L67)</f>
        <v>5</v>
      </c>
      <c r="N62" s="1">
        <v>5</v>
      </c>
      <c r="O62" s="1">
        <f>SUM(N62:N67)</f>
        <v>5</v>
      </c>
      <c r="P62" s="1">
        <v>5</v>
      </c>
      <c r="Q62" s="1">
        <f>SUM(P62:P67)</f>
        <v>5</v>
      </c>
      <c r="R62" s="1">
        <v>2</v>
      </c>
      <c r="S62" s="1">
        <f>SUM(R62:R67)</f>
        <v>2</v>
      </c>
      <c r="T62" s="6">
        <f t="shared" si="0"/>
        <v>86</v>
      </c>
      <c r="U62" s="1" t="str">
        <f>_xlfn.IFS(T62=0,"null",T62="A","absent", T62&gt;=95,"A",T62&gt;=81,"B",T62&gt;=65,"C",T62&gt;=50,"D",T62&gt;=39,"E",T62&lt;39,"F")</f>
        <v>B</v>
      </c>
    </row>
    <row r="63" spans="1:21" x14ac:dyDescent="0.35">
      <c r="B63" s="2">
        <v>3</v>
      </c>
      <c r="D63">
        <v>8</v>
      </c>
      <c r="F63" s="1">
        <v>2</v>
      </c>
      <c r="H63" s="1">
        <v>3</v>
      </c>
      <c r="J63" s="1">
        <v>4</v>
      </c>
      <c r="L63" s="1">
        <v>0</v>
      </c>
      <c r="N63" s="1">
        <v>0</v>
      </c>
      <c r="P63" s="1">
        <v>0</v>
      </c>
      <c r="R63" s="1">
        <v>0</v>
      </c>
      <c r="T63" s="6">
        <f t="shared" si="0"/>
        <v>0</v>
      </c>
      <c r="U63" s="1" t="str" cm="1">
        <f t="array" ref="U63">_xlfn.IFS(T63=0,"null",T63="A","absent", T63&gt;=89,"A",T63&gt;=77,"B",T63&gt;=65,"C",T63&gt;=53,"D",T63&gt;=41,"E",T63&lt;=40,"F")</f>
        <v>null</v>
      </c>
    </row>
    <row r="64" spans="1:21" x14ac:dyDescent="0.35">
      <c r="B64" s="2">
        <v>0</v>
      </c>
      <c r="D64">
        <v>3</v>
      </c>
      <c r="F64" s="1">
        <v>2</v>
      </c>
      <c r="H64" s="1">
        <v>0</v>
      </c>
      <c r="J64" s="1">
        <v>0</v>
      </c>
      <c r="L64" s="1">
        <v>0</v>
      </c>
      <c r="N64" s="1">
        <v>0</v>
      </c>
      <c r="P64" s="1">
        <v>0</v>
      </c>
      <c r="R64" s="1">
        <v>0</v>
      </c>
      <c r="T64" s="6">
        <f t="shared" si="0"/>
        <v>0</v>
      </c>
      <c r="U64" s="1" t="str" cm="1">
        <f t="array" ref="U64">_xlfn.IFS(T64=0,"null",T64="A","absent", T64&gt;=89,"A",T64&gt;=77,"B",T64&gt;=65,"C",T64&gt;=53,"D",T64&gt;=41,"E",T64&lt;=40,"F")</f>
        <v>null</v>
      </c>
    </row>
    <row r="65" spans="1:21" x14ac:dyDescent="0.35">
      <c r="B65" s="2">
        <v>0</v>
      </c>
      <c r="D65">
        <v>3</v>
      </c>
      <c r="F65" s="1">
        <v>2</v>
      </c>
      <c r="H65" s="1">
        <v>0</v>
      </c>
      <c r="J65" s="1">
        <v>0</v>
      </c>
      <c r="L65" s="1">
        <v>0</v>
      </c>
      <c r="N65" s="1">
        <v>0</v>
      </c>
      <c r="P65" s="1">
        <v>0</v>
      </c>
      <c r="R65" s="1">
        <v>0</v>
      </c>
      <c r="T65" s="6">
        <f t="shared" si="0"/>
        <v>0</v>
      </c>
      <c r="U65" s="1" t="str" cm="1">
        <f t="array" ref="U65">_xlfn.IFS(T65=0,"null",T65="A","absent", T65&gt;=89,"A",T65&gt;=77,"B",T65&gt;=65,"C",T65&gt;=53,"D",T65&gt;=41,"E",T65&lt;=40,"F")</f>
        <v>null</v>
      </c>
    </row>
    <row r="66" spans="1:21" x14ac:dyDescent="0.35">
      <c r="B66" s="2">
        <v>0</v>
      </c>
      <c r="D66">
        <v>2</v>
      </c>
      <c r="F66" s="1">
        <v>2</v>
      </c>
      <c r="H66" s="1">
        <v>0</v>
      </c>
      <c r="J66" s="1">
        <v>0</v>
      </c>
      <c r="L66" s="1">
        <v>0</v>
      </c>
      <c r="N66" s="1">
        <v>0</v>
      </c>
      <c r="P66" s="1">
        <v>0</v>
      </c>
      <c r="R66" s="1">
        <v>0</v>
      </c>
      <c r="T66" s="6">
        <f t="shared" si="0"/>
        <v>0</v>
      </c>
      <c r="U66" s="1" t="str" cm="1">
        <f t="array" ref="U66">_xlfn.IFS(T66=0,"null",T66="A","absent", T66&gt;=89,"A",T66&gt;=77,"B",T66&gt;=65,"C",T66&gt;=53,"D",T66&gt;=41,"E",T66&lt;=40,"F")</f>
        <v>null</v>
      </c>
    </row>
    <row r="67" spans="1:21" x14ac:dyDescent="0.35">
      <c r="B67" s="2">
        <v>0</v>
      </c>
      <c r="D67">
        <v>0</v>
      </c>
      <c r="F67" s="1">
        <v>2</v>
      </c>
      <c r="H67" s="1">
        <v>0</v>
      </c>
      <c r="J67" s="1">
        <v>0</v>
      </c>
      <c r="L67" s="1">
        <v>0</v>
      </c>
      <c r="N67" s="1">
        <v>0</v>
      </c>
      <c r="P67" s="1">
        <v>0</v>
      </c>
      <c r="R67" s="1">
        <v>0</v>
      </c>
      <c r="T67" s="6">
        <f t="shared" ref="T67:T130" si="1">C67+E67+G67+I67+K67+M67+O67+Q67+S67</f>
        <v>0</v>
      </c>
      <c r="U67" s="1" t="str" cm="1">
        <f t="array" ref="U67">_xlfn.IFS(T67=0,"null",T67="A","absent", T67&gt;=89,"A",T67&gt;=77,"B",T67&gt;=65,"C",T67&gt;=53,"D",T67&gt;=41,"E",T67&lt;=40,"F")</f>
        <v>null</v>
      </c>
    </row>
    <row r="68" spans="1:21" x14ac:dyDescent="0.35">
      <c r="A68" s="3">
        <v>12</v>
      </c>
      <c r="B68" s="2">
        <v>8</v>
      </c>
      <c r="C68" s="1">
        <f>SUM(B68:B73)</f>
        <v>20</v>
      </c>
      <c r="D68">
        <v>4</v>
      </c>
      <c r="E68" s="1">
        <f>SUM(D68:D73)</f>
        <v>20</v>
      </c>
      <c r="F68" s="1">
        <v>10</v>
      </c>
      <c r="G68" s="1">
        <f>SUM(F68:F73)</f>
        <v>20</v>
      </c>
      <c r="H68" s="1">
        <v>4</v>
      </c>
      <c r="I68" s="1">
        <f>SUM(H68:H73)</f>
        <v>4</v>
      </c>
      <c r="J68" s="1">
        <v>6</v>
      </c>
      <c r="K68" s="1">
        <f>SUM(J68:J73)</f>
        <v>10</v>
      </c>
      <c r="L68" s="1">
        <v>5</v>
      </c>
      <c r="M68" s="1">
        <f>SUM(L68:L73)</f>
        <v>5</v>
      </c>
      <c r="N68" s="1">
        <v>3</v>
      </c>
      <c r="O68" s="1">
        <f>SUM(N68:N73)</f>
        <v>3</v>
      </c>
      <c r="P68" s="1">
        <v>5</v>
      </c>
      <c r="Q68" s="1">
        <f>SUM(P68:P73)</f>
        <v>5</v>
      </c>
      <c r="R68" s="1">
        <v>5</v>
      </c>
      <c r="S68" s="1">
        <f>SUM(R68:R73)</f>
        <v>5</v>
      </c>
      <c r="T68" s="6">
        <f t="shared" si="1"/>
        <v>92</v>
      </c>
      <c r="U68" s="1" t="str">
        <f>_xlfn.IFS(T68=0,"null",T68="A","absent", T68&gt;=95,"A",T68&gt;=81,"B",T68&gt;=65,"C",T68&gt;=50,"D",T68&gt;=39,"E",T68&lt;39,"F")</f>
        <v>B</v>
      </c>
    </row>
    <row r="69" spans="1:21" x14ac:dyDescent="0.35">
      <c r="B69" s="2">
        <v>3</v>
      </c>
      <c r="D69">
        <v>8</v>
      </c>
      <c r="F69" s="1">
        <v>2</v>
      </c>
      <c r="H69" s="1">
        <v>0</v>
      </c>
      <c r="J69" s="1">
        <v>4</v>
      </c>
      <c r="L69" s="1">
        <v>0</v>
      </c>
      <c r="N69" s="1">
        <v>0</v>
      </c>
      <c r="P69" s="1">
        <v>0</v>
      </c>
      <c r="R69" s="1">
        <v>0</v>
      </c>
      <c r="T69" s="6">
        <f t="shared" si="1"/>
        <v>0</v>
      </c>
      <c r="U69" s="1" t="str" cm="1">
        <f t="array" ref="U69">_xlfn.IFS(T69=0,"null",T69="A","absent", T69&gt;=89,"A",T69&gt;=77,"B",T69&gt;=65,"C",T69&gt;=53,"D",T69&gt;=41,"E",T69&lt;=40,"F")</f>
        <v>null</v>
      </c>
    </row>
    <row r="70" spans="1:21" x14ac:dyDescent="0.35">
      <c r="B70" s="2">
        <v>4</v>
      </c>
      <c r="D70">
        <v>3</v>
      </c>
      <c r="F70" s="1">
        <v>2</v>
      </c>
      <c r="H70" s="1">
        <v>0</v>
      </c>
      <c r="J70" s="1">
        <v>0</v>
      </c>
      <c r="L70" s="1">
        <v>0</v>
      </c>
      <c r="N70" s="1">
        <v>0</v>
      </c>
      <c r="P70" s="1">
        <v>0</v>
      </c>
      <c r="R70" s="1">
        <v>0</v>
      </c>
      <c r="T70" s="6">
        <f t="shared" si="1"/>
        <v>0</v>
      </c>
      <c r="U70" s="1" t="str" cm="1">
        <f t="array" ref="U70">_xlfn.IFS(T70=0,"null",T70="A","absent", T70&gt;=89,"A",T70&gt;=77,"B",T70&gt;=65,"C",T70&gt;=53,"D",T70&gt;=41,"E",T70&lt;=40,"F")</f>
        <v>null</v>
      </c>
    </row>
    <row r="71" spans="1:21" x14ac:dyDescent="0.35">
      <c r="B71" s="2">
        <v>5</v>
      </c>
      <c r="D71">
        <v>3</v>
      </c>
      <c r="F71" s="1">
        <v>2</v>
      </c>
      <c r="H71" s="1">
        <v>0</v>
      </c>
      <c r="J71" s="1">
        <v>0</v>
      </c>
      <c r="L71" s="1">
        <v>0</v>
      </c>
      <c r="N71" s="1">
        <v>0</v>
      </c>
      <c r="P71" s="1">
        <v>0</v>
      </c>
      <c r="R71" s="1">
        <v>0</v>
      </c>
      <c r="T71" s="6">
        <f t="shared" si="1"/>
        <v>0</v>
      </c>
      <c r="U71" s="1" t="str" cm="1">
        <f t="array" ref="U71">_xlfn.IFS(T71=0,"null",T71="A","absent", T71&gt;=89,"A",T71&gt;=77,"B",T71&gt;=65,"C",T71&gt;=53,"D",T71&gt;=41,"E",T71&lt;=40,"F")</f>
        <v>null</v>
      </c>
    </row>
    <row r="72" spans="1:21" x14ac:dyDescent="0.35">
      <c r="B72" s="2">
        <v>0</v>
      </c>
      <c r="D72">
        <v>2</v>
      </c>
      <c r="F72" s="1">
        <v>2</v>
      </c>
      <c r="H72" s="1">
        <v>0</v>
      </c>
      <c r="J72" s="1">
        <v>0</v>
      </c>
      <c r="L72" s="1">
        <v>0</v>
      </c>
      <c r="N72" s="1">
        <v>0</v>
      </c>
      <c r="P72" s="1">
        <v>0</v>
      </c>
      <c r="R72" s="1">
        <v>0</v>
      </c>
      <c r="T72" s="6">
        <f t="shared" si="1"/>
        <v>0</v>
      </c>
      <c r="U72" s="1" t="str" cm="1">
        <f t="array" ref="U72">_xlfn.IFS(T72=0,"null",T72="A","absent", T72&gt;=89,"A",T72&gt;=77,"B",T72&gt;=65,"C",T72&gt;=53,"D",T72&gt;=41,"E",T72&lt;=40,"F")</f>
        <v>null</v>
      </c>
    </row>
    <row r="73" spans="1:21" x14ac:dyDescent="0.35">
      <c r="B73" s="2">
        <v>0</v>
      </c>
      <c r="D73">
        <v>0</v>
      </c>
      <c r="F73" s="1">
        <v>2</v>
      </c>
      <c r="H73" s="1">
        <v>0</v>
      </c>
      <c r="J73" s="1">
        <v>0</v>
      </c>
      <c r="L73" s="1">
        <v>0</v>
      </c>
      <c r="N73" s="1">
        <v>0</v>
      </c>
      <c r="P73" s="1">
        <v>0</v>
      </c>
      <c r="R73" s="1">
        <v>0</v>
      </c>
      <c r="T73" s="6">
        <f t="shared" si="1"/>
        <v>0</v>
      </c>
      <c r="U73" s="1" t="str" cm="1">
        <f t="array" ref="U73">_xlfn.IFS(T73=0,"null",T73="A","absent", T73&gt;=89,"A",T73&gt;=77,"B",T73&gt;=65,"C",T73&gt;=53,"D",T73&gt;=41,"E",T73&lt;=40,"F")</f>
        <v>null</v>
      </c>
    </row>
    <row r="74" spans="1:21" x14ac:dyDescent="0.35">
      <c r="A74" s="3">
        <v>13</v>
      </c>
      <c r="B74" s="2">
        <v>8</v>
      </c>
      <c r="C74" s="1">
        <f>SUM(B74:B79)</f>
        <v>20</v>
      </c>
      <c r="D74">
        <v>4</v>
      </c>
      <c r="E74" s="1">
        <f>SUM(D74:D79)</f>
        <v>20</v>
      </c>
      <c r="F74" s="1">
        <v>10</v>
      </c>
      <c r="G74" s="1">
        <f>SUM(F74:F79)</f>
        <v>20</v>
      </c>
      <c r="H74" s="1">
        <v>0</v>
      </c>
      <c r="I74" s="1">
        <f>SUM(H74:H79)</f>
        <v>0</v>
      </c>
      <c r="J74" s="1">
        <v>6</v>
      </c>
      <c r="K74" s="1">
        <f>SUM(J74:J79)</f>
        <v>10</v>
      </c>
      <c r="L74" s="1">
        <v>5</v>
      </c>
      <c r="M74" s="1">
        <f>SUM(L74:L79)</f>
        <v>5</v>
      </c>
      <c r="N74" s="1">
        <v>5</v>
      </c>
      <c r="O74" s="1">
        <f>SUM(N74:N79)</f>
        <v>5</v>
      </c>
      <c r="P74" s="1">
        <v>5</v>
      </c>
      <c r="Q74" s="1">
        <f>SUM(P74:P79)</f>
        <v>5</v>
      </c>
      <c r="R74" s="1">
        <v>0</v>
      </c>
      <c r="S74" s="1">
        <f>SUM(R74:R79)</f>
        <v>0</v>
      </c>
      <c r="T74" s="6">
        <f t="shared" si="1"/>
        <v>85</v>
      </c>
      <c r="U74" s="1" t="str">
        <f>_xlfn.IFS(T74=0,"null",T74="A","absent", T74&gt;=95,"A",T74&gt;=81,"B",T74&gt;=65,"C",T74&gt;=50,"D",T74&gt;=39,"E",T74&lt;39,"F")</f>
        <v>B</v>
      </c>
    </row>
    <row r="75" spans="1:21" x14ac:dyDescent="0.35">
      <c r="B75" s="2">
        <v>3</v>
      </c>
      <c r="D75">
        <v>8</v>
      </c>
      <c r="F75" s="1">
        <v>2</v>
      </c>
      <c r="H75" s="1">
        <v>0</v>
      </c>
      <c r="J75" s="1">
        <v>4</v>
      </c>
      <c r="L75" s="1">
        <v>0</v>
      </c>
      <c r="N75" s="1">
        <v>0</v>
      </c>
      <c r="P75" s="1">
        <v>0</v>
      </c>
      <c r="R75" s="1">
        <v>0</v>
      </c>
      <c r="T75" s="6">
        <f t="shared" si="1"/>
        <v>0</v>
      </c>
      <c r="U75" s="1" t="str" cm="1">
        <f t="array" ref="U75">_xlfn.IFS(T75=0,"null",T75="A","absent", T75&gt;=89,"A",T75&gt;=77,"B",T75&gt;=65,"C",T75&gt;=53,"D",T75&gt;=41,"E",T75&lt;=40,"F")</f>
        <v>null</v>
      </c>
    </row>
    <row r="76" spans="1:21" x14ac:dyDescent="0.35">
      <c r="B76" s="2">
        <v>4</v>
      </c>
      <c r="D76">
        <v>3</v>
      </c>
      <c r="F76" s="1">
        <v>2</v>
      </c>
      <c r="H76" s="1">
        <v>0</v>
      </c>
      <c r="J76" s="1">
        <v>0</v>
      </c>
      <c r="L76" s="1">
        <v>0</v>
      </c>
      <c r="N76" s="1">
        <v>0</v>
      </c>
      <c r="P76" s="1">
        <v>0</v>
      </c>
      <c r="R76" s="1">
        <v>0</v>
      </c>
      <c r="T76" s="6">
        <f t="shared" si="1"/>
        <v>0</v>
      </c>
      <c r="U76" s="1" t="str" cm="1">
        <f t="array" ref="U76">_xlfn.IFS(T76=0,"null",T76="A","absent", T76&gt;=89,"A",T76&gt;=77,"B",T76&gt;=65,"C",T76&gt;=53,"D",T76&gt;=41,"E",T76&lt;=40,"F")</f>
        <v>null</v>
      </c>
    </row>
    <row r="77" spans="1:21" x14ac:dyDescent="0.35">
      <c r="B77" s="2">
        <v>5</v>
      </c>
      <c r="D77">
        <v>3</v>
      </c>
      <c r="F77" s="1">
        <v>2</v>
      </c>
      <c r="H77" s="1">
        <v>0</v>
      </c>
      <c r="J77" s="1">
        <v>0</v>
      </c>
      <c r="L77" s="1">
        <v>0</v>
      </c>
      <c r="N77" s="1">
        <v>0</v>
      </c>
      <c r="P77" s="1">
        <v>0</v>
      </c>
      <c r="R77" s="1">
        <v>0</v>
      </c>
      <c r="T77" s="6">
        <f t="shared" si="1"/>
        <v>0</v>
      </c>
      <c r="U77" s="1" t="str" cm="1">
        <f t="array" ref="U77">_xlfn.IFS(T77=0,"null",T77="A","absent", T77&gt;=89,"A",T77&gt;=77,"B",T77&gt;=65,"C",T77&gt;=53,"D",T77&gt;=41,"E",T77&lt;=40,"F")</f>
        <v>null</v>
      </c>
    </row>
    <row r="78" spans="1:21" x14ac:dyDescent="0.35">
      <c r="B78" s="2">
        <v>0</v>
      </c>
      <c r="D78">
        <v>2</v>
      </c>
      <c r="F78" s="1">
        <v>2</v>
      </c>
      <c r="H78" s="1">
        <v>0</v>
      </c>
      <c r="J78" s="1">
        <v>0</v>
      </c>
      <c r="L78" s="1">
        <v>0</v>
      </c>
      <c r="N78" s="1">
        <v>0</v>
      </c>
      <c r="P78" s="1">
        <v>0</v>
      </c>
      <c r="R78" s="1">
        <v>0</v>
      </c>
      <c r="T78" s="6">
        <f t="shared" si="1"/>
        <v>0</v>
      </c>
      <c r="U78" s="1" t="str" cm="1">
        <f t="array" ref="U78">_xlfn.IFS(T78=0,"null",T78="A","absent", T78&gt;=89,"A",T78&gt;=77,"B",T78&gt;=65,"C",T78&gt;=53,"D",T78&gt;=41,"E",T78&lt;=40,"F")</f>
        <v>null</v>
      </c>
    </row>
    <row r="79" spans="1:21" x14ac:dyDescent="0.35">
      <c r="B79" s="2">
        <v>0</v>
      </c>
      <c r="D79">
        <v>0</v>
      </c>
      <c r="F79" s="1">
        <v>2</v>
      </c>
      <c r="H79" s="1">
        <v>0</v>
      </c>
      <c r="J79" s="1">
        <v>0</v>
      </c>
      <c r="L79" s="1">
        <v>0</v>
      </c>
      <c r="N79" s="1">
        <v>0</v>
      </c>
      <c r="P79" s="1">
        <v>0</v>
      </c>
      <c r="R79" s="1">
        <v>0</v>
      </c>
      <c r="T79" s="6">
        <f t="shared" si="1"/>
        <v>0</v>
      </c>
      <c r="U79" s="1" t="str" cm="1">
        <f t="array" ref="U79">_xlfn.IFS(T79=0,"null",T79="A","absent", T79&gt;=89,"A",T79&gt;=77,"B",T79&gt;=65,"C",T79&gt;=53,"D",T79&gt;=41,"E",T79&lt;=40,"F")</f>
        <v>null</v>
      </c>
    </row>
    <row r="80" spans="1:21" x14ac:dyDescent="0.35">
      <c r="A80" s="3">
        <v>14</v>
      </c>
      <c r="B80" s="2">
        <v>5</v>
      </c>
      <c r="C80" s="1">
        <f>SUM(B80:B85)</f>
        <v>8</v>
      </c>
      <c r="D80">
        <v>0</v>
      </c>
      <c r="E80" s="1">
        <f>SUM(D80:D85)</f>
        <v>0</v>
      </c>
      <c r="F80">
        <v>0</v>
      </c>
      <c r="G80" s="1">
        <f>SUM(F80:F85)</f>
        <v>0</v>
      </c>
      <c r="H80" s="1">
        <v>0</v>
      </c>
      <c r="I80" s="1">
        <f>SUM(H80:H85)</f>
        <v>0</v>
      </c>
      <c r="J80" s="1">
        <v>0</v>
      </c>
      <c r="K80" s="1">
        <f>SUM(J80:J85)</f>
        <v>0</v>
      </c>
      <c r="L80" s="1">
        <v>0</v>
      </c>
      <c r="M80" s="1">
        <f>SUM(L80:L85)</f>
        <v>0</v>
      </c>
      <c r="N80" s="1">
        <v>0</v>
      </c>
      <c r="O80" s="1">
        <f>SUM(N80:N85)</f>
        <v>0</v>
      </c>
      <c r="P80" s="1">
        <v>0</v>
      </c>
      <c r="Q80" s="1">
        <f>SUM(P80:P85)</f>
        <v>0</v>
      </c>
      <c r="R80" s="1">
        <v>0</v>
      </c>
      <c r="S80" s="1">
        <f>SUM(R80:R85)</f>
        <v>0</v>
      </c>
      <c r="T80" s="6">
        <f t="shared" si="1"/>
        <v>8</v>
      </c>
      <c r="U80" s="1" t="str">
        <f>_xlfn.IFS(T80=0,"null",T80="A","absent", T80&gt;=95,"A",T80&gt;=81,"B",T80&gt;=65,"C",T80&gt;=50,"D",T80&gt;=39,"E",T80&lt;39,"F")</f>
        <v>F</v>
      </c>
    </row>
    <row r="81" spans="1:21" x14ac:dyDescent="0.35">
      <c r="B81" s="2">
        <v>1</v>
      </c>
      <c r="D81">
        <v>0</v>
      </c>
      <c r="F81">
        <v>0</v>
      </c>
      <c r="H81" s="1">
        <v>0</v>
      </c>
      <c r="J81" s="1">
        <v>0</v>
      </c>
      <c r="L81" s="1">
        <v>0</v>
      </c>
      <c r="N81" s="1">
        <v>0</v>
      </c>
      <c r="P81" s="1">
        <v>0</v>
      </c>
      <c r="R81" s="1">
        <v>0</v>
      </c>
      <c r="T81" s="6">
        <f t="shared" si="1"/>
        <v>0</v>
      </c>
      <c r="U81" s="1" t="str" cm="1">
        <f t="array" ref="U81">_xlfn.IFS(T81=0,"null",T81="A","absent", T81&gt;=89,"A",T81&gt;=77,"B",T81&gt;=65,"C",T81&gt;=53,"D",T81&gt;=41,"E",T81&lt;=40,"F")</f>
        <v>null</v>
      </c>
    </row>
    <row r="82" spans="1:21" x14ac:dyDescent="0.35">
      <c r="B82" s="2">
        <v>2</v>
      </c>
      <c r="D82">
        <v>0</v>
      </c>
      <c r="F82">
        <v>0</v>
      </c>
      <c r="H82" s="1">
        <v>0</v>
      </c>
      <c r="J82" s="1">
        <v>0</v>
      </c>
      <c r="L82" s="1">
        <v>0</v>
      </c>
      <c r="N82" s="1">
        <v>0</v>
      </c>
      <c r="P82" s="1">
        <v>0</v>
      </c>
      <c r="R82" s="1">
        <v>0</v>
      </c>
      <c r="T82" s="6">
        <f t="shared" si="1"/>
        <v>0</v>
      </c>
      <c r="U82" s="1" t="str" cm="1">
        <f t="array" ref="U82">_xlfn.IFS(T82=0,"null",T82="A","absent", T82&gt;=89,"A",T82&gt;=77,"B",T82&gt;=65,"C",T82&gt;=53,"D",T82&gt;=41,"E",T82&lt;=40,"F")</f>
        <v>null</v>
      </c>
    </row>
    <row r="83" spans="1:21" x14ac:dyDescent="0.35">
      <c r="B83" s="2">
        <v>0</v>
      </c>
      <c r="D83">
        <v>0</v>
      </c>
      <c r="F83">
        <v>0</v>
      </c>
      <c r="H83" s="1">
        <v>0</v>
      </c>
      <c r="J83" s="1">
        <v>0</v>
      </c>
      <c r="L83" s="1">
        <v>0</v>
      </c>
      <c r="N83" s="1">
        <v>0</v>
      </c>
      <c r="P83" s="1">
        <v>0</v>
      </c>
      <c r="R83" s="1">
        <v>0</v>
      </c>
      <c r="T83" s="6">
        <f t="shared" si="1"/>
        <v>0</v>
      </c>
      <c r="U83" s="1" t="str" cm="1">
        <f t="array" ref="U83">_xlfn.IFS(T83=0,"null",T83="A","absent", T83&gt;=89,"A",T83&gt;=77,"B",T83&gt;=65,"C",T83&gt;=53,"D",T83&gt;=41,"E",T83&lt;=40,"F")</f>
        <v>null</v>
      </c>
    </row>
    <row r="84" spans="1:21" x14ac:dyDescent="0.35">
      <c r="B84" s="2">
        <v>0</v>
      </c>
      <c r="D84">
        <v>0</v>
      </c>
      <c r="F84">
        <v>0</v>
      </c>
      <c r="H84" s="1">
        <v>0</v>
      </c>
      <c r="J84" s="1">
        <v>0</v>
      </c>
      <c r="L84" s="1">
        <v>0</v>
      </c>
      <c r="N84" s="1">
        <v>0</v>
      </c>
      <c r="P84" s="1">
        <v>0</v>
      </c>
      <c r="R84" s="1">
        <v>0</v>
      </c>
      <c r="T84" s="6">
        <f t="shared" si="1"/>
        <v>0</v>
      </c>
      <c r="U84" s="1" t="str" cm="1">
        <f t="array" ref="U84">_xlfn.IFS(T84=0,"null",T84="A","absent", T84&gt;=89,"A",T84&gt;=77,"B",T84&gt;=65,"C",T84&gt;=53,"D",T84&gt;=41,"E",T84&lt;=40,"F")</f>
        <v>null</v>
      </c>
    </row>
    <row r="85" spans="1:21" x14ac:dyDescent="0.35">
      <c r="B85" s="2">
        <v>0</v>
      </c>
      <c r="D85">
        <v>0</v>
      </c>
      <c r="F85">
        <v>0</v>
      </c>
      <c r="H85" s="1">
        <v>0</v>
      </c>
      <c r="J85" s="1">
        <v>0</v>
      </c>
      <c r="L85" s="1">
        <v>0</v>
      </c>
      <c r="N85" s="1">
        <v>0</v>
      </c>
      <c r="P85" s="1">
        <v>0</v>
      </c>
      <c r="R85" s="1">
        <v>0</v>
      </c>
      <c r="T85" s="6">
        <f t="shared" si="1"/>
        <v>0</v>
      </c>
      <c r="U85" s="1" t="str" cm="1">
        <f t="array" ref="U85">_xlfn.IFS(T85=0,"null",T85="A","absent", T85&gt;=89,"A",T85&gt;=77,"B",T85&gt;=65,"C",T85&gt;=53,"D",T85&gt;=41,"E",T85&lt;=40,"F")</f>
        <v>null</v>
      </c>
    </row>
    <row r="86" spans="1:21" x14ac:dyDescent="0.35">
      <c r="A86" s="3">
        <v>15</v>
      </c>
      <c r="B86" s="2">
        <v>8</v>
      </c>
      <c r="C86" s="1">
        <f>SUM(B86:B91)</f>
        <v>19</v>
      </c>
      <c r="D86">
        <v>3</v>
      </c>
      <c r="E86" s="1">
        <f>SUM(D86:D91)</f>
        <v>11</v>
      </c>
      <c r="F86" s="1">
        <v>6</v>
      </c>
      <c r="G86" s="1">
        <f>SUM(F86:F91)</f>
        <v>8</v>
      </c>
      <c r="H86" s="1">
        <v>4</v>
      </c>
      <c r="I86" s="1">
        <f>SUM(H86:H91)</f>
        <v>4</v>
      </c>
      <c r="J86" s="1">
        <v>6</v>
      </c>
      <c r="K86" s="1">
        <f>SUM(J86:J91)</f>
        <v>6</v>
      </c>
      <c r="L86" s="1">
        <v>0</v>
      </c>
      <c r="M86" s="1">
        <f>SUM(L86:L91)</f>
        <v>0</v>
      </c>
      <c r="N86" s="1">
        <v>0</v>
      </c>
      <c r="O86" s="1">
        <f>SUM(N86:N91)</f>
        <v>0</v>
      </c>
      <c r="P86" s="1">
        <v>2</v>
      </c>
      <c r="Q86" s="1">
        <f>SUM(P86:P91)</f>
        <v>2</v>
      </c>
      <c r="R86" s="1">
        <v>5</v>
      </c>
      <c r="S86" s="1">
        <f>SUM(R86:R91)</f>
        <v>5</v>
      </c>
      <c r="T86" s="6">
        <f t="shared" si="1"/>
        <v>55</v>
      </c>
      <c r="U86" s="1" t="str">
        <f>_xlfn.IFS(T86=0,"null",T86="A","absent", T86&gt;=95,"A",T86&gt;=81,"B",T86&gt;=65,"C",T86&gt;=50,"D",T86&gt;=39,"E",T86&lt;39,"F")</f>
        <v>D</v>
      </c>
    </row>
    <row r="87" spans="1:21" x14ac:dyDescent="0.35">
      <c r="B87" s="2">
        <v>3</v>
      </c>
      <c r="D87">
        <v>5</v>
      </c>
      <c r="F87" s="1">
        <v>2</v>
      </c>
      <c r="H87" s="1">
        <v>0</v>
      </c>
      <c r="J87" s="1">
        <v>0</v>
      </c>
      <c r="L87" s="1">
        <v>0</v>
      </c>
      <c r="N87" s="1">
        <v>0</v>
      </c>
      <c r="P87" s="1">
        <v>0</v>
      </c>
      <c r="R87" s="1">
        <v>0</v>
      </c>
      <c r="T87" s="6">
        <f t="shared" si="1"/>
        <v>0</v>
      </c>
      <c r="U87" s="1" t="str" cm="1">
        <f t="array" ref="U87">_xlfn.IFS(T87=0,"null",T87="A","absent", T87&gt;=89,"A",T87&gt;=77,"B",T87&gt;=65,"C",T87&gt;=53,"D",T87&gt;=41,"E",T87&lt;=40,"F")</f>
        <v>null</v>
      </c>
    </row>
    <row r="88" spans="1:21" x14ac:dyDescent="0.35">
      <c r="B88" s="2">
        <v>4</v>
      </c>
      <c r="D88">
        <v>1</v>
      </c>
      <c r="F88" s="1">
        <v>0</v>
      </c>
      <c r="H88" s="1">
        <v>0</v>
      </c>
      <c r="J88" s="1">
        <v>0</v>
      </c>
      <c r="L88" s="1">
        <v>0</v>
      </c>
      <c r="N88" s="1">
        <v>0</v>
      </c>
      <c r="P88" s="1">
        <v>0</v>
      </c>
      <c r="R88" s="1">
        <v>0</v>
      </c>
      <c r="T88" s="6">
        <f t="shared" si="1"/>
        <v>0</v>
      </c>
      <c r="U88" s="1" t="str" cm="1">
        <f t="array" ref="U88">_xlfn.IFS(T88=0,"null",T88="A","absent", T88&gt;=89,"A",T88&gt;=77,"B",T88&gt;=65,"C",T88&gt;=53,"D",T88&gt;=41,"E",T88&lt;=40,"F")</f>
        <v>null</v>
      </c>
    </row>
    <row r="89" spans="1:21" x14ac:dyDescent="0.35">
      <c r="B89" s="2">
        <v>4</v>
      </c>
      <c r="D89">
        <v>1</v>
      </c>
      <c r="F89" s="1">
        <v>0</v>
      </c>
      <c r="H89" s="1">
        <v>0</v>
      </c>
      <c r="J89" s="1">
        <v>0</v>
      </c>
      <c r="L89" s="1">
        <v>0</v>
      </c>
      <c r="N89" s="1">
        <v>0</v>
      </c>
      <c r="P89" s="1">
        <v>0</v>
      </c>
      <c r="R89" s="1">
        <v>0</v>
      </c>
      <c r="T89" s="6">
        <f t="shared" si="1"/>
        <v>0</v>
      </c>
      <c r="U89" s="1" t="str" cm="1">
        <f t="array" ref="U89">_xlfn.IFS(T89=0,"null",T89="A","absent", T89&gt;=89,"A",T89&gt;=77,"B",T89&gt;=65,"C",T89&gt;=53,"D",T89&gt;=41,"E",T89&lt;=40,"F")</f>
        <v>null</v>
      </c>
    </row>
    <row r="90" spans="1:21" x14ac:dyDescent="0.35">
      <c r="B90" s="2">
        <v>0</v>
      </c>
      <c r="D90">
        <v>1</v>
      </c>
      <c r="F90" s="1">
        <v>0</v>
      </c>
      <c r="H90" s="1">
        <v>0</v>
      </c>
      <c r="J90" s="1">
        <v>0</v>
      </c>
      <c r="L90" s="1">
        <v>0</v>
      </c>
      <c r="N90" s="1">
        <v>0</v>
      </c>
      <c r="P90" s="1">
        <v>0</v>
      </c>
      <c r="R90" s="1">
        <v>0</v>
      </c>
      <c r="T90" s="6">
        <f t="shared" si="1"/>
        <v>0</v>
      </c>
      <c r="U90" s="1" t="str" cm="1">
        <f t="array" ref="U90">_xlfn.IFS(T90=0,"null",T90="A","absent", T90&gt;=89,"A",T90&gt;=77,"B",T90&gt;=65,"C",T90&gt;=53,"D",T90&gt;=41,"E",T90&lt;=40,"F")</f>
        <v>null</v>
      </c>
    </row>
    <row r="91" spans="1:21" x14ac:dyDescent="0.35">
      <c r="B91" s="2">
        <v>0</v>
      </c>
      <c r="D91">
        <v>0</v>
      </c>
      <c r="F91" s="1">
        <v>0</v>
      </c>
      <c r="H91" s="1">
        <v>0</v>
      </c>
      <c r="J91" s="1">
        <v>0</v>
      </c>
      <c r="L91" s="1">
        <v>0</v>
      </c>
      <c r="N91" s="1">
        <v>0</v>
      </c>
      <c r="P91" s="1">
        <v>0</v>
      </c>
      <c r="R91" s="1">
        <v>0</v>
      </c>
      <c r="T91" s="6">
        <f t="shared" si="1"/>
        <v>0</v>
      </c>
      <c r="U91" s="1" t="str" cm="1">
        <f t="array" ref="U91">_xlfn.IFS(T91=0,"null",T91="A","absent", T91&gt;=89,"A",T91&gt;=77,"B",T91&gt;=65,"C",T91&gt;=53,"D",T91&gt;=41,"E",T91&lt;=40,"F")</f>
        <v>null</v>
      </c>
    </row>
    <row r="92" spans="1:21" x14ac:dyDescent="0.35">
      <c r="A92" s="3">
        <v>16</v>
      </c>
      <c r="B92" s="2">
        <v>8</v>
      </c>
      <c r="C92" s="1">
        <f>SUM(B92:B97)</f>
        <v>11</v>
      </c>
      <c r="D92">
        <v>4</v>
      </c>
      <c r="E92" s="1">
        <f>SUM(D92:D97)</f>
        <v>15</v>
      </c>
      <c r="F92" s="1">
        <v>10</v>
      </c>
      <c r="G92" s="1">
        <f>SUM(F92:F97)</f>
        <v>20</v>
      </c>
      <c r="H92" s="1">
        <v>0</v>
      </c>
      <c r="I92" s="1">
        <f>SUM(H92:H97)</f>
        <v>0</v>
      </c>
      <c r="J92" s="1">
        <v>6</v>
      </c>
      <c r="K92" s="1">
        <f>SUM(J92:J97)</f>
        <v>10</v>
      </c>
      <c r="L92" s="1">
        <v>5</v>
      </c>
      <c r="M92" s="1">
        <f>SUM(L92:L97)</f>
        <v>5</v>
      </c>
      <c r="N92" s="1">
        <v>3</v>
      </c>
      <c r="O92" s="1">
        <f>SUM(N92:N97)</f>
        <v>3</v>
      </c>
      <c r="P92" s="1">
        <v>5</v>
      </c>
      <c r="Q92" s="1">
        <f>SUM(P92:P97)</f>
        <v>5</v>
      </c>
      <c r="R92" s="1">
        <v>0</v>
      </c>
      <c r="S92" s="1">
        <f>SUM(R92:R97)</f>
        <v>0</v>
      </c>
      <c r="T92" s="6">
        <f t="shared" si="1"/>
        <v>69</v>
      </c>
      <c r="U92" s="1" t="str">
        <f>_xlfn.IFS(T92=0,"null",T92="A","absent", T92&gt;=95,"A",T92&gt;=81,"B",T92&gt;=65,"C",T92&gt;=50,"D",T92&gt;=39,"E",T92&lt;39,"F")</f>
        <v>C</v>
      </c>
    </row>
    <row r="93" spans="1:21" x14ac:dyDescent="0.35">
      <c r="B93" s="2">
        <v>3</v>
      </c>
      <c r="D93">
        <v>7</v>
      </c>
      <c r="F93" s="1">
        <v>2</v>
      </c>
      <c r="H93" s="1">
        <v>0</v>
      </c>
      <c r="J93" s="1">
        <v>4</v>
      </c>
      <c r="L93" s="1">
        <v>0</v>
      </c>
      <c r="N93" s="1">
        <v>0</v>
      </c>
      <c r="P93" s="1">
        <v>0</v>
      </c>
      <c r="R93" s="1">
        <v>0</v>
      </c>
      <c r="T93" s="6">
        <f t="shared" si="1"/>
        <v>0</v>
      </c>
      <c r="U93" s="1" t="str" cm="1">
        <f t="array" ref="U93">_xlfn.IFS(T93=0,"null",T93="A","absent", T93&gt;=89,"A",T93&gt;=77,"B",T93&gt;=65,"C",T93&gt;=53,"D",T93&gt;=41,"E",T93&lt;=40,"F")</f>
        <v>null</v>
      </c>
    </row>
    <row r="94" spans="1:21" x14ac:dyDescent="0.35">
      <c r="B94" s="2">
        <v>0</v>
      </c>
      <c r="D94">
        <v>3</v>
      </c>
      <c r="F94" s="1">
        <v>2</v>
      </c>
      <c r="H94" s="1">
        <v>0</v>
      </c>
      <c r="J94" s="1">
        <v>0</v>
      </c>
      <c r="L94" s="1">
        <v>0</v>
      </c>
      <c r="N94" s="1">
        <v>0</v>
      </c>
      <c r="P94" s="1">
        <v>0</v>
      </c>
      <c r="R94" s="1">
        <v>0</v>
      </c>
      <c r="T94" s="6">
        <f t="shared" si="1"/>
        <v>0</v>
      </c>
      <c r="U94" s="1" t="str" cm="1">
        <f t="array" ref="U94">_xlfn.IFS(T94=0,"null",T94="A","absent", T94&gt;=89,"A",T94&gt;=77,"B",T94&gt;=65,"C",T94&gt;=53,"D",T94&gt;=41,"E",T94&lt;=40,"F")</f>
        <v>null</v>
      </c>
    </row>
    <row r="95" spans="1:21" x14ac:dyDescent="0.35">
      <c r="B95" s="2">
        <v>0</v>
      </c>
      <c r="D95">
        <v>0</v>
      </c>
      <c r="F95" s="1">
        <v>2</v>
      </c>
      <c r="H95" s="1">
        <v>0</v>
      </c>
      <c r="J95" s="1">
        <v>0</v>
      </c>
      <c r="L95" s="1">
        <v>0</v>
      </c>
      <c r="N95" s="1">
        <v>0</v>
      </c>
      <c r="P95" s="1">
        <v>0</v>
      </c>
      <c r="R95" s="1">
        <v>0</v>
      </c>
      <c r="T95" s="6">
        <f t="shared" si="1"/>
        <v>0</v>
      </c>
      <c r="U95" s="1" t="str" cm="1">
        <f t="array" ref="U95">_xlfn.IFS(T95=0,"null",T95="A","absent", T95&gt;=89,"A",T95&gt;=77,"B",T95&gt;=65,"C",T95&gt;=53,"D",T95&gt;=41,"E",T95&lt;=40,"F")</f>
        <v>null</v>
      </c>
    </row>
    <row r="96" spans="1:21" x14ac:dyDescent="0.35">
      <c r="B96" s="2">
        <v>0</v>
      </c>
      <c r="D96">
        <v>1</v>
      </c>
      <c r="F96" s="1">
        <v>2</v>
      </c>
      <c r="H96" s="1">
        <v>0</v>
      </c>
      <c r="J96" s="1">
        <v>0</v>
      </c>
      <c r="L96" s="1">
        <v>0</v>
      </c>
      <c r="N96" s="1">
        <v>0</v>
      </c>
      <c r="P96" s="1">
        <v>0</v>
      </c>
      <c r="R96" s="1">
        <v>0</v>
      </c>
      <c r="T96" s="6">
        <f t="shared" si="1"/>
        <v>0</v>
      </c>
      <c r="U96" s="1" t="str" cm="1">
        <f t="array" ref="U96">_xlfn.IFS(T96=0,"null",T96="A","absent", T96&gt;=89,"A",T96&gt;=77,"B",T96&gt;=65,"C",T96&gt;=53,"D",T96&gt;=41,"E",T96&lt;=40,"F")</f>
        <v>null</v>
      </c>
    </row>
    <row r="97" spans="1:21" x14ac:dyDescent="0.35">
      <c r="B97" s="2">
        <v>0</v>
      </c>
      <c r="D97">
        <v>0</v>
      </c>
      <c r="F97" s="1">
        <v>2</v>
      </c>
      <c r="H97" s="1">
        <v>0</v>
      </c>
      <c r="J97" s="1">
        <v>0</v>
      </c>
      <c r="L97" s="1">
        <v>0</v>
      </c>
      <c r="N97" s="1">
        <v>0</v>
      </c>
      <c r="P97" s="1">
        <v>0</v>
      </c>
      <c r="R97" s="1">
        <v>0</v>
      </c>
      <c r="T97" s="6">
        <f t="shared" si="1"/>
        <v>0</v>
      </c>
      <c r="U97" s="1" t="str" cm="1">
        <f t="array" ref="U97">_xlfn.IFS(T97=0,"null",T97="A","absent", T97&gt;=89,"A",T97&gt;=77,"B",T97&gt;=65,"C",T97&gt;=53,"D",T97&gt;=41,"E",T97&lt;=40,"F")</f>
        <v>null</v>
      </c>
    </row>
    <row r="98" spans="1:21" x14ac:dyDescent="0.35">
      <c r="A98" s="3">
        <v>17</v>
      </c>
      <c r="B98" s="2">
        <v>6</v>
      </c>
      <c r="C98" s="1">
        <f>SUM(B98:B103)</f>
        <v>18</v>
      </c>
      <c r="D98">
        <v>4</v>
      </c>
      <c r="E98" s="1">
        <f>SUM(D98:D103)</f>
        <v>11</v>
      </c>
      <c r="F98" s="1">
        <v>10</v>
      </c>
      <c r="G98" s="1">
        <f>SUM(F98:F103)</f>
        <v>20</v>
      </c>
      <c r="H98" s="1">
        <v>5</v>
      </c>
      <c r="I98" s="1">
        <f>SUM(H98:H103)</f>
        <v>8</v>
      </c>
      <c r="J98" s="1">
        <v>6</v>
      </c>
      <c r="K98" s="1">
        <f>SUM(J98:J103)</f>
        <v>8</v>
      </c>
      <c r="L98" s="1">
        <v>3</v>
      </c>
      <c r="M98" s="1">
        <f>SUM(L98:L103)</f>
        <v>3</v>
      </c>
      <c r="N98" s="1">
        <v>3</v>
      </c>
      <c r="O98" s="1">
        <f>SUM(N98:N103)</f>
        <v>3</v>
      </c>
      <c r="P98" s="1">
        <v>3</v>
      </c>
      <c r="Q98" s="1">
        <f>SUM(P98:P103)</f>
        <v>3</v>
      </c>
      <c r="R98" s="1">
        <v>5</v>
      </c>
      <c r="S98" s="1">
        <f>SUM(R98:R103)</f>
        <v>5</v>
      </c>
      <c r="T98" s="6">
        <f t="shared" si="1"/>
        <v>79</v>
      </c>
      <c r="U98" s="1" t="str">
        <f>_xlfn.IFS(T98=0,"null",T98="A","absent", T98&gt;=95,"A",T98&gt;=81,"B",T98&gt;=65,"C",T98&gt;=50,"D",T98&gt;=39,"E",T98&lt;39,"F")</f>
        <v>C</v>
      </c>
    </row>
    <row r="99" spans="1:21" x14ac:dyDescent="0.35">
      <c r="B99" s="2">
        <v>3</v>
      </c>
      <c r="D99">
        <v>5</v>
      </c>
      <c r="F99" s="1">
        <v>2</v>
      </c>
      <c r="H99" s="1">
        <v>3</v>
      </c>
      <c r="J99" s="1">
        <v>2</v>
      </c>
      <c r="L99" s="1">
        <v>0</v>
      </c>
      <c r="N99" s="1">
        <v>0</v>
      </c>
      <c r="P99" s="1">
        <v>0</v>
      </c>
      <c r="R99" s="1">
        <v>0</v>
      </c>
      <c r="T99" s="6">
        <f t="shared" si="1"/>
        <v>0</v>
      </c>
      <c r="U99" s="1" t="str" cm="1">
        <f t="array" ref="U99">_xlfn.IFS(T99=0,"null",T99="A","absent", T99&gt;=89,"A",T99&gt;=77,"B",T99&gt;=65,"C",T99&gt;=53,"D",T99&gt;=41,"E",T99&lt;=40,"F")</f>
        <v>null</v>
      </c>
    </row>
    <row r="100" spans="1:21" x14ac:dyDescent="0.35">
      <c r="B100" s="2">
        <v>4</v>
      </c>
      <c r="D100">
        <v>1</v>
      </c>
      <c r="F100" s="1">
        <v>2</v>
      </c>
      <c r="H100" s="1">
        <v>0</v>
      </c>
      <c r="J100" s="1">
        <v>0</v>
      </c>
      <c r="L100" s="1">
        <v>0</v>
      </c>
      <c r="N100" s="1">
        <v>0</v>
      </c>
      <c r="P100" s="1">
        <v>0</v>
      </c>
      <c r="R100" s="1">
        <v>0</v>
      </c>
      <c r="T100" s="6">
        <f t="shared" si="1"/>
        <v>0</v>
      </c>
      <c r="U100" s="1" t="str" cm="1">
        <f t="array" ref="U100">_xlfn.IFS(T100=0,"null",T100="A","absent", T100&gt;=89,"A",T100&gt;=77,"B",T100&gt;=65,"C",T100&gt;=53,"D",T100&gt;=41,"E",T100&lt;=40,"F")</f>
        <v>null</v>
      </c>
    </row>
    <row r="101" spans="1:21" x14ac:dyDescent="0.35">
      <c r="B101" s="2">
        <v>5</v>
      </c>
      <c r="D101">
        <v>0</v>
      </c>
      <c r="F101" s="1">
        <v>2</v>
      </c>
      <c r="H101" s="1">
        <v>0</v>
      </c>
      <c r="J101" s="1">
        <v>0</v>
      </c>
      <c r="L101" s="1">
        <v>0</v>
      </c>
      <c r="N101" s="1">
        <v>0</v>
      </c>
      <c r="P101" s="1">
        <v>0</v>
      </c>
      <c r="R101" s="1">
        <v>0</v>
      </c>
      <c r="T101" s="6">
        <f t="shared" si="1"/>
        <v>0</v>
      </c>
      <c r="U101" s="1" t="str" cm="1">
        <f t="array" ref="U101">_xlfn.IFS(T101=0,"null",T101="A","absent", T101&gt;=89,"A",T101&gt;=77,"B",T101&gt;=65,"C",T101&gt;=53,"D",T101&gt;=41,"E",T101&lt;=40,"F")</f>
        <v>null</v>
      </c>
    </row>
    <row r="102" spans="1:21" x14ac:dyDescent="0.35">
      <c r="B102" s="2">
        <v>0</v>
      </c>
      <c r="D102">
        <v>0</v>
      </c>
      <c r="F102" s="1">
        <v>2</v>
      </c>
      <c r="H102" s="1">
        <v>0</v>
      </c>
      <c r="J102" s="1">
        <v>0</v>
      </c>
      <c r="L102" s="1">
        <v>0</v>
      </c>
      <c r="N102" s="1">
        <v>0</v>
      </c>
      <c r="P102" s="1">
        <v>0</v>
      </c>
      <c r="R102" s="1">
        <v>0</v>
      </c>
      <c r="T102" s="6">
        <f t="shared" si="1"/>
        <v>0</v>
      </c>
      <c r="U102" s="1" t="str" cm="1">
        <f t="array" ref="U102">_xlfn.IFS(T102=0,"null",T102="A","absent", T102&gt;=89,"A",T102&gt;=77,"B",T102&gt;=65,"C",T102&gt;=53,"D",T102&gt;=41,"E",T102&lt;=40,"F")</f>
        <v>null</v>
      </c>
    </row>
    <row r="103" spans="1:21" x14ac:dyDescent="0.35">
      <c r="B103" s="2">
        <v>0</v>
      </c>
      <c r="D103">
        <v>1</v>
      </c>
      <c r="F103" s="1">
        <v>2</v>
      </c>
      <c r="H103" s="1">
        <v>0</v>
      </c>
      <c r="J103" s="1">
        <v>0</v>
      </c>
      <c r="L103" s="1">
        <v>0</v>
      </c>
      <c r="N103" s="1">
        <v>0</v>
      </c>
      <c r="P103" s="1">
        <v>0</v>
      </c>
      <c r="R103" s="1">
        <v>0</v>
      </c>
      <c r="T103" s="6">
        <f t="shared" si="1"/>
        <v>0</v>
      </c>
      <c r="U103" s="1" t="str" cm="1">
        <f t="array" ref="U103">_xlfn.IFS(T103=0,"null",T103="A","absent", T103&gt;=89,"A",T103&gt;=77,"B",T103&gt;=65,"C",T103&gt;=53,"D",T103&gt;=41,"E",T103&lt;=40,"F")</f>
        <v>null</v>
      </c>
    </row>
    <row r="104" spans="1:21" x14ac:dyDescent="0.35">
      <c r="A104" s="3">
        <v>18</v>
      </c>
      <c r="B104" s="2">
        <v>8</v>
      </c>
      <c r="C104" s="1">
        <f>SUM(B104:B109)</f>
        <v>9</v>
      </c>
      <c r="D104">
        <v>2</v>
      </c>
      <c r="E104" s="1">
        <f>SUM(D104:D109)</f>
        <v>7</v>
      </c>
      <c r="F104" s="1">
        <v>5</v>
      </c>
      <c r="G104" s="1">
        <f>SUM(F104:F109)</f>
        <v>5</v>
      </c>
      <c r="H104" s="1">
        <v>0</v>
      </c>
      <c r="I104" s="1">
        <f>SUM(H104:H109)</f>
        <v>0</v>
      </c>
      <c r="J104" s="1">
        <v>0</v>
      </c>
      <c r="K104" s="1">
        <f>SUM(J104:J109)</f>
        <v>0</v>
      </c>
      <c r="L104" s="1">
        <v>0</v>
      </c>
      <c r="M104" s="1">
        <f>SUM(L104:L109)</f>
        <v>0</v>
      </c>
      <c r="N104" s="1">
        <v>0</v>
      </c>
      <c r="O104" s="1">
        <f>SUM(N104:N109)</f>
        <v>0</v>
      </c>
      <c r="P104" s="1">
        <v>0</v>
      </c>
      <c r="Q104" s="1">
        <f>SUM(P104:P109)</f>
        <v>0</v>
      </c>
      <c r="R104" s="1">
        <v>0</v>
      </c>
      <c r="S104" s="1">
        <f>SUM(R104:R109)</f>
        <v>0</v>
      </c>
      <c r="T104" s="6">
        <f t="shared" si="1"/>
        <v>21</v>
      </c>
      <c r="U104" s="1" t="str">
        <f>_xlfn.IFS(T104=0,"null",T104="A","absent", T104&gt;=95,"A",T104&gt;=81,"B",T104&gt;=65,"C",T104&gt;=50,"D",T104&gt;=39,"E",T104&lt;39,"F")</f>
        <v>F</v>
      </c>
    </row>
    <row r="105" spans="1:21" x14ac:dyDescent="0.35">
      <c r="B105" s="2">
        <v>1</v>
      </c>
      <c r="D105">
        <v>4</v>
      </c>
      <c r="F105" s="1">
        <v>0</v>
      </c>
      <c r="H105" s="1">
        <v>0</v>
      </c>
      <c r="J105" s="1">
        <v>0</v>
      </c>
      <c r="L105" s="1">
        <v>0</v>
      </c>
      <c r="N105" s="1">
        <v>0</v>
      </c>
      <c r="P105" s="1">
        <v>0</v>
      </c>
      <c r="R105" s="1">
        <v>0</v>
      </c>
      <c r="T105" s="6">
        <f t="shared" si="1"/>
        <v>0</v>
      </c>
      <c r="U105" s="1" t="str" cm="1">
        <f t="array" ref="U105">_xlfn.IFS(T105=0,"null",T105="A","absent", T105&gt;=89,"A",T105&gt;=77,"B",T105&gt;=65,"C",T105&gt;=53,"D",T105&gt;=41,"E",T105&lt;=40,"F")</f>
        <v>null</v>
      </c>
    </row>
    <row r="106" spans="1:21" x14ac:dyDescent="0.35">
      <c r="B106" s="2">
        <v>0</v>
      </c>
      <c r="D106">
        <v>0</v>
      </c>
      <c r="F106" s="1">
        <v>0</v>
      </c>
      <c r="H106" s="1">
        <v>0</v>
      </c>
      <c r="J106" s="1">
        <v>0</v>
      </c>
      <c r="L106" s="1">
        <v>0</v>
      </c>
      <c r="N106" s="1">
        <v>0</v>
      </c>
      <c r="P106" s="1">
        <v>0</v>
      </c>
      <c r="R106" s="1">
        <v>0</v>
      </c>
      <c r="T106" s="6">
        <f t="shared" si="1"/>
        <v>0</v>
      </c>
      <c r="U106" s="1" t="str" cm="1">
        <f t="array" ref="U106">_xlfn.IFS(T106=0,"null",T106="A","absent", T106&gt;=89,"A",T106&gt;=77,"B",T106&gt;=65,"C",T106&gt;=53,"D",T106&gt;=41,"E",T106&lt;=40,"F")</f>
        <v>null</v>
      </c>
    </row>
    <row r="107" spans="1:21" x14ac:dyDescent="0.35">
      <c r="B107" s="2">
        <v>0</v>
      </c>
      <c r="D107">
        <v>0</v>
      </c>
      <c r="F107" s="1">
        <v>0</v>
      </c>
      <c r="H107" s="1">
        <v>0</v>
      </c>
      <c r="J107" s="1">
        <v>0</v>
      </c>
      <c r="L107" s="1">
        <v>0</v>
      </c>
      <c r="N107" s="1">
        <v>0</v>
      </c>
      <c r="P107" s="1">
        <v>0</v>
      </c>
      <c r="R107" s="1">
        <v>0</v>
      </c>
      <c r="T107" s="6">
        <f t="shared" si="1"/>
        <v>0</v>
      </c>
      <c r="U107" s="1" t="str" cm="1">
        <f t="array" ref="U107">_xlfn.IFS(T107=0,"null",T107="A","absent", T107&gt;=89,"A",T107&gt;=77,"B",T107&gt;=65,"C",T107&gt;=53,"D",T107&gt;=41,"E",T107&lt;=40,"F")</f>
        <v>null</v>
      </c>
    </row>
    <row r="108" spans="1:21" x14ac:dyDescent="0.35">
      <c r="B108" s="2">
        <v>0</v>
      </c>
      <c r="D108">
        <v>1</v>
      </c>
      <c r="F108" s="1">
        <v>0</v>
      </c>
      <c r="H108" s="1">
        <v>0</v>
      </c>
      <c r="J108" s="1">
        <v>0</v>
      </c>
      <c r="L108" s="1">
        <v>0</v>
      </c>
      <c r="N108" s="1">
        <v>0</v>
      </c>
      <c r="P108" s="1">
        <v>0</v>
      </c>
      <c r="R108" s="1">
        <v>0</v>
      </c>
      <c r="T108" s="6">
        <f t="shared" si="1"/>
        <v>0</v>
      </c>
      <c r="U108" s="1" t="str" cm="1">
        <f t="array" ref="U108">_xlfn.IFS(T108=0,"null",T108="A","absent", T108&gt;=89,"A",T108&gt;=77,"B",T108&gt;=65,"C",T108&gt;=53,"D",T108&gt;=41,"E",T108&lt;=40,"F")</f>
        <v>null</v>
      </c>
    </row>
    <row r="109" spans="1:21" x14ac:dyDescent="0.35">
      <c r="B109" s="2">
        <v>0</v>
      </c>
      <c r="D109">
        <v>0</v>
      </c>
      <c r="F109" s="1">
        <v>0</v>
      </c>
      <c r="H109" s="1">
        <v>0</v>
      </c>
      <c r="J109" s="1">
        <v>0</v>
      </c>
      <c r="L109" s="1">
        <v>0</v>
      </c>
      <c r="N109" s="1">
        <v>0</v>
      </c>
      <c r="P109" s="1">
        <v>0</v>
      </c>
      <c r="R109" s="1">
        <v>0</v>
      </c>
      <c r="T109" s="6">
        <f t="shared" si="1"/>
        <v>0</v>
      </c>
      <c r="U109" s="1" t="str" cm="1">
        <f t="array" ref="U109">_xlfn.IFS(T109=0,"null",T109="A","absent", T109&gt;=89,"A",T109&gt;=77,"B",T109&gt;=65,"C",T109&gt;=53,"D",T109&gt;=41,"E",T109&lt;=40,"F")</f>
        <v>null</v>
      </c>
    </row>
    <row r="110" spans="1:21" x14ac:dyDescent="0.35">
      <c r="A110" s="3">
        <v>19</v>
      </c>
      <c r="B110" s="2">
        <v>8</v>
      </c>
      <c r="C110" s="1">
        <f>SUM(B110:B115)</f>
        <v>13</v>
      </c>
      <c r="D110">
        <v>4</v>
      </c>
      <c r="E110" s="1">
        <f>SUM(D110:D115)</f>
        <v>20</v>
      </c>
      <c r="F110" s="1">
        <v>10</v>
      </c>
      <c r="G110" s="1">
        <f>SUM(F110:F115)</f>
        <v>18</v>
      </c>
      <c r="H110" s="1">
        <v>4</v>
      </c>
      <c r="I110" s="1">
        <f>SUM(H110:H115)</f>
        <v>6</v>
      </c>
      <c r="J110" s="1">
        <v>6</v>
      </c>
      <c r="K110" s="1">
        <f>SUM(J110:J115)</f>
        <v>10</v>
      </c>
      <c r="L110" s="1">
        <v>5</v>
      </c>
      <c r="M110" s="1">
        <f>SUM(L110:L115)</f>
        <v>5</v>
      </c>
      <c r="N110" s="1">
        <v>0</v>
      </c>
      <c r="O110" s="1">
        <f>SUM(N110:N115)</f>
        <v>0</v>
      </c>
      <c r="P110" s="1">
        <v>5</v>
      </c>
      <c r="Q110" s="1">
        <f>SUM(P110:P115)</f>
        <v>5</v>
      </c>
      <c r="R110" s="1">
        <v>5</v>
      </c>
      <c r="S110" s="1">
        <f>SUM(R110:R115)</f>
        <v>5</v>
      </c>
      <c r="T110" s="6">
        <f t="shared" si="1"/>
        <v>82</v>
      </c>
      <c r="U110" s="1" t="str">
        <f>_xlfn.IFS(T110=0,"null",T110="A","absent", T110&gt;=95,"A",T110&gt;=81,"B",T110&gt;=65,"C",T110&gt;=50,"D",T110&gt;=39,"E",T110&lt;39,"F")</f>
        <v>B</v>
      </c>
    </row>
    <row r="111" spans="1:21" x14ac:dyDescent="0.35">
      <c r="B111" s="2">
        <v>3</v>
      </c>
      <c r="D111">
        <v>8</v>
      </c>
      <c r="F111" s="1">
        <v>1</v>
      </c>
      <c r="H111" s="1">
        <v>2</v>
      </c>
      <c r="J111" s="1">
        <v>4</v>
      </c>
      <c r="L111" s="1">
        <v>0</v>
      </c>
      <c r="N111" s="1">
        <v>0</v>
      </c>
      <c r="P111" s="1">
        <v>0</v>
      </c>
      <c r="R111" s="1">
        <v>0</v>
      </c>
      <c r="T111" s="6">
        <f t="shared" si="1"/>
        <v>0</v>
      </c>
      <c r="U111" s="1" t="str" cm="1">
        <f t="array" ref="U111">_xlfn.IFS(T111=0,"null",T111="A","absent", T111&gt;=89,"A",T111&gt;=77,"B",T111&gt;=65,"C",T111&gt;=53,"D",T111&gt;=41,"E",T111&lt;=40,"F")</f>
        <v>null</v>
      </c>
    </row>
    <row r="112" spans="1:21" x14ac:dyDescent="0.35">
      <c r="B112" s="2">
        <v>2</v>
      </c>
      <c r="D112">
        <v>3</v>
      </c>
      <c r="F112" s="1">
        <v>1</v>
      </c>
      <c r="H112" s="1">
        <v>0</v>
      </c>
      <c r="J112" s="1">
        <v>0</v>
      </c>
      <c r="L112" s="1">
        <v>0</v>
      </c>
      <c r="N112" s="1">
        <v>0</v>
      </c>
      <c r="P112" s="1">
        <v>0</v>
      </c>
      <c r="R112" s="1">
        <v>0</v>
      </c>
      <c r="T112" s="6">
        <f t="shared" si="1"/>
        <v>0</v>
      </c>
      <c r="U112" s="1" t="str" cm="1">
        <f t="array" ref="U112">_xlfn.IFS(T112=0,"null",T112="A","absent", T112&gt;=89,"A",T112&gt;=77,"B",T112&gt;=65,"C",T112&gt;=53,"D",T112&gt;=41,"E",T112&lt;=40,"F")</f>
        <v>null</v>
      </c>
    </row>
    <row r="113" spans="1:21" x14ac:dyDescent="0.35">
      <c r="B113" s="2">
        <v>0</v>
      </c>
      <c r="D113">
        <v>3</v>
      </c>
      <c r="F113" s="1">
        <v>2</v>
      </c>
      <c r="H113" s="1">
        <v>0</v>
      </c>
      <c r="J113" s="1">
        <v>0</v>
      </c>
      <c r="L113" s="1">
        <v>0</v>
      </c>
      <c r="N113" s="1">
        <v>0</v>
      </c>
      <c r="P113" s="1">
        <v>0</v>
      </c>
      <c r="R113" s="1">
        <v>0</v>
      </c>
      <c r="T113" s="6">
        <f t="shared" si="1"/>
        <v>0</v>
      </c>
      <c r="U113" s="1" t="str" cm="1">
        <f t="array" ref="U113">_xlfn.IFS(T113=0,"null",T113="A","absent", T113&gt;=89,"A",T113&gt;=77,"B",T113&gt;=65,"C",T113&gt;=53,"D",T113&gt;=41,"E",T113&lt;=40,"F")</f>
        <v>null</v>
      </c>
    </row>
    <row r="114" spans="1:21" x14ac:dyDescent="0.35">
      <c r="B114" s="2">
        <v>0</v>
      </c>
      <c r="D114">
        <v>2</v>
      </c>
      <c r="F114" s="1">
        <v>2</v>
      </c>
      <c r="H114" s="1">
        <v>0</v>
      </c>
      <c r="J114" s="1">
        <v>0</v>
      </c>
      <c r="L114" s="1">
        <v>0</v>
      </c>
      <c r="N114" s="1">
        <v>0</v>
      </c>
      <c r="P114" s="1">
        <v>0</v>
      </c>
      <c r="R114" s="1">
        <v>0</v>
      </c>
      <c r="T114" s="6">
        <f t="shared" si="1"/>
        <v>0</v>
      </c>
      <c r="U114" s="1" t="str" cm="1">
        <f t="array" ref="U114">_xlfn.IFS(T114=0,"null",T114="A","absent", T114&gt;=89,"A",T114&gt;=77,"B",T114&gt;=65,"C",T114&gt;=53,"D",T114&gt;=41,"E",T114&lt;=40,"F")</f>
        <v>null</v>
      </c>
    </row>
    <row r="115" spans="1:21" x14ac:dyDescent="0.35">
      <c r="B115" s="2">
        <v>0</v>
      </c>
      <c r="D115">
        <v>0</v>
      </c>
      <c r="F115" s="1">
        <v>2</v>
      </c>
      <c r="H115" s="1">
        <v>0</v>
      </c>
      <c r="J115" s="1">
        <v>0</v>
      </c>
      <c r="L115" s="1">
        <v>0</v>
      </c>
      <c r="N115" s="1">
        <v>0</v>
      </c>
      <c r="P115" s="1">
        <v>0</v>
      </c>
      <c r="R115" s="1">
        <v>0</v>
      </c>
      <c r="T115" s="6">
        <f t="shared" si="1"/>
        <v>0</v>
      </c>
      <c r="U115" s="1" t="str" cm="1">
        <f t="array" ref="U115">_xlfn.IFS(T115=0,"null",T115="A","absent", T115&gt;=89,"A",T115&gt;=77,"B",T115&gt;=65,"C",T115&gt;=53,"D",T115&gt;=41,"E",T115&lt;=40,"F")</f>
        <v>null</v>
      </c>
    </row>
    <row r="116" spans="1:21" x14ac:dyDescent="0.35">
      <c r="A116" s="3">
        <v>20</v>
      </c>
      <c r="B116" s="2">
        <v>8</v>
      </c>
      <c r="C116" s="1">
        <f>SUM(B116:B121)</f>
        <v>20</v>
      </c>
      <c r="D116">
        <v>4</v>
      </c>
      <c r="E116" s="1">
        <f>SUM(D116:D121)</f>
        <v>19</v>
      </c>
      <c r="F116" s="1">
        <v>10</v>
      </c>
      <c r="G116" s="1">
        <f>SUM(F116:F121)</f>
        <v>20</v>
      </c>
      <c r="H116" s="1">
        <v>0</v>
      </c>
      <c r="I116" s="1">
        <f>SUM(H116:H121)</f>
        <v>0</v>
      </c>
      <c r="J116" s="1">
        <v>6</v>
      </c>
      <c r="K116" s="1">
        <f>SUM(J116:J121)</f>
        <v>8</v>
      </c>
      <c r="L116" s="1">
        <v>5</v>
      </c>
      <c r="M116" s="1">
        <f>SUM(L116:L121)</f>
        <v>5</v>
      </c>
      <c r="N116" s="1">
        <v>5</v>
      </c>
      <c r="O116" s="1">
        <f>SUM(N116:N121)</f>
        <v>5</v>
      </c>
      <c r="P116" s="1">
        <v>5</v>
      </c>
      <c r="Q116" s="1">
        <f>SUM(P116:P121)</f>
        <v>5</v>
      </c>
      <c r="R116" s="1">
        <v>5</v>
      </c>
      <c r="S116" s="1">
        <f>SUM(R116:R121)</f>
        <v>5</v>
      </c>
      <c r="T116" s="6">
        <f t="shared" si="1"/>
        <v>87</v>
      </c>
      <c r="U116" s="1" t="str">
        <f>_xlfn.IFS(T116=0,"null",T116="A","absent", T116&gt;=95,"A",T116&gt;=81,"B",T116&gt;=65,"C",T116&gt;=50,"D",T116&gt;=39,"E",T116&lt;39,"F")</f>
        <v>B</v>
      </c>
    </row>
    <row r="117" spans="1:21" x14ac:dyDescent="0.35">
      <c r="B117" s="2">
        <v>3</v>
      </c>
      <c r="D117">
        <v>7</v>
      </c>
      <c r="F117" s="1">
        <v>2</v>
      </c>
      <c r="H117" s="1">
        <v>0</v>
      </c>
      <c r="J117" s="1">
        <v>2</v>
      </c>
      <c r="L117" s="1">
        <v>0</v>
      </c>
      <c r="N117" s="1">
        <v>0</v>
      </c>
      <c r="P117" s="1">
        <v>0</v>
      </c>
      <c r="R117" s="1">
        <v>0</v>
      </c>
      <c r="T117" s="6">
        <f t="shared" si="1"/>
        <v>0</v>
      </c>
      <c r="U117" s="1" t="str" cm="1">
        <f t="array" ref="U117">_xlfn.IFS(T117=0,"null",T117="A","absent", T117&gt;=89,"A",T117&gt;=77,"B",T117&gt;=65,"C",T117&gt;=53,"D",T117&gt;=41,"E",T117&lt;=40,"F")</f>
        <v>null</v>
      </c>
    </row>
    <row r="118" spans="1:21" x14ac:dyDescent="0.35">
      <c r="B118" s="2">
        <v>4</v>
      </c>
      <c r="D118">
        <v>3</v>
      </c>
      <c r="F118" s="1">
        <v>2</v>
      </c>
      <c r="H118" s="1">
        <v>0</v>
      </c>
      <c r="J118" s="1">
        <v>0</v>
      </c>
      <c r="L118" s="1">
        <v>0</v>
      </c>
      <c r="N118" s="1">
        <v>0</v>
      </c>
      <c r="P118" s="1">
        <v>0</v>
      </c>
      <c r="R118" s="1">
        <v>0</v>
      </c>
      <c r="T118" s="6">
        <f t="shared" si="1"/>
        <v>0</v>
      </c>
      <c r="U118" s="1" t="str" cm="1">
        <f t="array" ref="U118">_xlfn.IFS(T118=0,"null",T118="A","absent", T118&gt;=89,"A",T118&gt;=77,"B",T118&gt;=65,"C",T118&gt;=53,"D",T118&gt;=41,"E",T118&lt;=40,"F")</f>
        <v>null</v>
      </c>
    </row>
    <row r="119" spans="1:21" x14ac:dyDescent="0.35">
      <c r="B119" s="2">
        <v>5</v>
      </c>
      <c r="D119">
        <v>3</v>
      </c>
      <c r="F119" s="1">
        <v>2</v>
      </c>
      <c r="H119" s="1">
        <v>0</v>
      </c>
      <c r="J119" s="1">
        <v>0</v>
      </c>
      <c r="L119" s="1">
        <v>0</v>
      </c>
      <c r="N119" s="1">
        <v>0</v>
      </c>
      <c r="P119" s="1">
        <v>0</v>
      </c>
      <c r="R119" s="1">
        <v>0</v>
      </c>
      <c r="T119" s="6">
        <f t="shared" si="1"/>
        <v>0</v>
      </c>
      <c r="U119" s="1" t="str" cm="1">
        <f t="array" ref="U119">_xlfn.IFS(T119=0,"null",T119="A","absent", T119&gt;=89,"A",T119&gt;=77,"B",T119&gt;=65,"C",T119&gt;=53,"D",T119&gt;=41,"E",T119&lt;=40,"F")</f>
        <v>null</v>
      </c>
    </row>
    <row r="120" spans="1:21" x14ac:dyDescent="0.35">
      <c r="B120" s="2">
        <v>0</v>
      </c>
      <c r="D120">
        <v>2</v>
      </c>
      <c r="F120" s="1">
        <v>2</v>
      </c>
      <c r="H120" s="1">
        <v>0</v>
      </c>
      <c r="J120" s="1">
        <v>0</v>
      </c>
      <c r="L120" s="1">
        <v>0</v>
      </c>
      <c r="N120" s="1">
        <v>0</v>
      </c>
      <c r="P120" s="1">
        <v>0</v>
      </c>
      <c r="R120" s="1">
        <v>0</v>
      </c>
      <c r="T120" s="6">
        <f t="shared" si="1"/>
        <v>0</v>
      </c>
      <c r="U120" s="1" t="str" cm="1">
        <f t="array" ref="U120">_xlfn.IFS(T120=0,"null",T120="A","absent", T120&gt;=89,"A",T120&gt;=77,"B",T120&gt;=65,"C",T120&gt;=53,"D",T120&gt;=41,"E",T120&lt;=40,"F")</f>
        <v>null</v>
      </c>
    </row>
    <row r="121" spans="1:21" x14ac:dyDescent="0.35">
      <c r="B121" s="2">
        <v>0</v>
      </c>
      <c r="D121">
        <v>0</v>
      </c>
      <c r="F121" s="1">
        <v>2</v>
      </c>
      <c r="H121" s="1">
        <v>0</v>
      </c>
      <c r="J121" s="1">
        <v>0</v>
      </c>
      <c r="L121" s="1">
        <v>0</v>
      </c>
      <c r="N121" s="1">
        <v>0</v>
      </c>
      <c r="P121" s="1">
        <v>0</v>
      </c>
      <c r="R121" s="1">
        <v>0</v>
      </c>
      <c r="T121" s="6">
        <f t="shared" si="1"/>
        <v>0</v>
      </c>
      <c r="U121" s="1" t="str" cm="1">
        <f t="array" ref="U121">_xlfn.IFS(T121=0,"null",T121="A","absent", T121&gt;=89,"A",T121&gt;=77,"B",T121&gt;=65,"C",T121&gt;=53,"D",T121&gt;=41,"E",T121&lt;=40,"F")</f>
        <v>null</v>
      </c>
    </row>
    <row r="122" spans="1:21" x14ac:dyDescent="0.35">
      <c r="A122" s="3">
        <v>21</v>
      </c>
      <c r="B122" s="2">
        <v>8</v>
      </c>
      <c r="C122" s="1">
        <f>SUM(B122:B127)</f>
        <v>11</v>
      </c>
      <c r="D122">
        <v>4</v>
      </c>
      <c r="E122" s="1">
        <f>SUM(D122:D127)</f>
        <v>8</v>
      </c>
      <c r="F122" s="1">
        <v>10</v>
      </c>
      <c r="G122" s="1">
        <f>SUM(F122:F127)</f>
        <v>20</v>
      </c>
      <c r="H122" s="1">
        <v>0</v>
      </c>
      <c r="I122" s="1">
        <f>SUM(H122:H127)</f>
        <v>0</v>
      </c>
      <c r="J122" s="1">
        <v>6</v>
      </c>
      <c r="K122" s="1">
        <f>SUM(J122:J127)</f>
        <v>10</v>
      </c>
      <c r="L122" s="1">
        <v>5</v>
      </c>
      <c r="M122" s="1">
        <f>SUM(L122:L127)</f>
        <v>5</v>
      </c>
      <c r="N122" s="1">
        <v>2</v>
      </c>
      <c r="O122" s="1">
        <f>SUM(N122:N127)</f>
        <v>2</v>
      </c>
      <c r="P122" s="1">
        <v>5</v>
      </c>
      <c r="Q122" s="1">
        <f>SUM(P122:P127)</f>
        <v>5</v>
      </c>
      <c r="R122" s="1">
        <v>0</v>
      </c>
      <c r="S122" s="1">
        <f>SUM(R122:R127)</f>
        <v>0</v>
      </c>
      <c r="T122" s="6">
        <f t="shared" si="1"/>
        <v>61</v>
      </c>
      <c r="U122" s="1" t="str">
        <f>_xlfn.IFS(T122=0,"null",T122="A","absent", T122&gt;=95,"A",T122&gt;=81,"B",T122&gt;=65,"C",T122&gt;=50,"D",T122&gt;=39,"E",T122&lt;39,"F")</f>
        <v>D</v>
      </c>
    </row>
    <row r="123" spans="1:21" x14ac:dyDescent="0.35">
      <c r="B123" s="2">
        <v>3</v>
      </c>
      <c r="D123">
        <v>2</v>
      </c>
      <c r="F123" s="1">
        <v>2</v>
      </c>
      <c r="H123" s="1">
        <v>0</v>
      </c>
      <c r="J123" s="1">
        <v>4</v>
      </c>
      <c r="L123" s="1">
        <v>0</v>
      </c>
      <c r="N123" s="1">
        <v>0</v>
      </c>
      <c r="P123" s="1">
        <v>0</v>
      </c>
      <c r="R123" s="1">
        <v>0</v>
      </c>
      <c r="T123" s="6">
        <f t="shared" si="1"/>
        <v>0</v>
      </c>
      <c r="U123" s="1" t="str" cm="1">
        <f t="array" ref="U123">_xlfn.IFS(T123=0,"null",T123="A","absent", T123&gt;=89,"A",T123&gt;=77,"B",T123&gt;=65,"C",T123&gt;=53,"D",T123&gt;=41,"E",T123&lt;=40,"F")</f>
        <v>null</v>
      </c>
    </row>
    <row r="124" spans="1:21" x14ac:dyDescent="0.35">
      <c r="B124" s="2">
        <v>0</v>
      </c>
      <c r="D124">
        <v>1</v>
      </c>
      <c r="F124" s="1">
        <v>2</v>
      </c>
      <c r="H124" s="1">
        <v>0</v>
      </c>
      <c r="J124" s="1">
        <v>0</v>
      </c>
      <c r="L124" s="1">
        <v>0</v>
      </c>
      <c r="N124" s="1">
        <v>0</v>
      </c>
      <c r="P124" s="1">
        <v>0</v>
      </c>
      <c r="R124" s="1">
        <v>0</v>
      </c>
      <c r="T124" s="6">
        <f t="shared" si="1"/>
        <v>0</v>
      </c>
      <c r="U124" s="1" t="str" cm="1">
        <f t="array" ref="U124">_xlfn.IFS(T124=0,"null",T124="A","absent", T124&gt;=89,"A",T124&gt;=77,"B",T124&gt;=65,"C",T124&gt;=53,"D",T124&gt;=41,"E",T124&lt;=40,"F")</f>
        <v>null</v>
      </c>
    </row>
    <row r="125" spans="1:21" x14ac:dyDescent="0.35">
      <c r="B125" s="2">
        <v>0</v>
      </c>
      <c r="D125">
        <v>0</v>
      </c>
      <c r="F125" s="1">
        <v>2</v>
      </c>
      <c r="H125" s="1">
        <v>0</v>
      </c>
      <c r="J125" s="1">
        <v>0</v>
      </c>
      <c r="L125" s="1">
        <v>0</v>
      </c>
      <c r="N125" s="1">
        <v>0</v>
      </c>
      <c r="P125" s="1">
        <v>0</v>
      </c>
      <c r="R125" s="1">
        <v>0</v>
      </c>
      <c r="T125" s="6">
        <f t="shared" si="1"/>
        <v>0</v>
      </c>
      <c r="U125" s="1" t="str" cm="1">
        <f t="array" ref="U125">_xlfn.IFS(T125=0,"null",T125="A","absent", T125&gt;=89,"A",T125&gt;=77,"B",T125&gt;=65,"C",T125&gt;=53,"D",T125&gt;=41,"E",T125&lt;=40,"F")</f>
        <v>null</v>
      </c>
    </row>
    <row r="126" spans="1:21" x14ac:dyDescent="0.35">
      <c r="B126" s="2">
        <v>0</v>
      </c>
      <c r="D126">
        <v>1</v>
      </c>
      <c r="F126" s="1">
        <v>2</v>
      </c>
      <c r="H126" s="1">
        <v>0</v>
      </c>
      <c r="J126" s="1">
        <v>0</v>
      </c>
      <c r="L126" s="1">
        <v>0</v>
      </c>
      <c r="N126" s="1">
        <v>0</v>
      </c>
      <c r="P126" s="1">
        <v>0</v>
      </c>
      <c r="R126" s="1">
        <v>0</v>
      </c>
      <c r="T126" s="6">
        <f t="shared" si="1"/>
        <v>0</v>
      </c>
      <c r="U126" s="1" t="str" cm="1">
        <f t="array" ref="U126">_xlfn.IFS(T126=0,"null",T126="A","absent", T126&gt;=89,"A",T126&gt;=77,"B",T126&gt;=65,"C",T126&gt;=53,"D",T126&gt;=41,"E",T126&lt;=40,"F")</f>
        <v>null</v>
      </c>
    </row>
    <row r="127" spans="1:21" x14ac:dyDescent="0.35">
      <c r="B127" s="2">
        <v>0</v>
      </c>
      <c r="D127">
        <v>0</v>
      </c>
      <c r="F127" s="1">
        <v>2</v>
      </c>
      <c r="H127" s="1">
        <v>0</v>
      </c>
      <c r="J127" s="1">
        <v>0</v>
      </c>
      <c r="L127" s="1">
        <v>0</v>
      </c>
      <c r="N127" s="1">
        <v>0</v>
      </c>
      <c r="P127" s="1">
        <v>0</v>
      </c>
      <c r="R127" s="1">
        <v>0</v>
      </c>
      <c r="T127" s="6">
        <f t="shared" si="1"/>
        <v>0</v>
      </c>
      <c r="U127" s="1" t="str" cm="1">
        <f t="array" ref="U127">_xlfn.IFS(T127=0,"null",T127="A","absent", T127&gt;=89,"A",T127&gt;=77,"B",T127&gt;=65,"C",T127&gt;=53,"D",T127&gt;=41,"E",T127&lt;=40,"F")</f>
        <v>null</v>
      </c>
    </row>
    <row r="128" spans="1:21" x14ac:dyDescent="0.35">
      <c r="A128" s="3">
        <v>22</v>
      </c>
      <c r="B128" s="2">
        <v>8</v>
      </c>
      <c r="C128" s="1">
        <f>SUM(B128:B133)</f>
        <v>19</v>
      </c>
      <c r="D128">
        <v>3</v>
      </c>
      <c r="E128" s="1">
        <f>SUM(D128:D133)</f>
        <v>14</v>
      </c>
      <c r="F128" s="1">
        <v>9</v>
      </c>
      <c r="G128" s="1">
        <f>SUM(F128:F133)</f>
        <v>17</v>
      </c>
      <c r="H128" s="1">
        <v>0</v>
      </c>
      <c r="I128" s="1">
        <f>SUM(H128:H133)</f>
        <v>0</v>
      </c>
      <c r="J128" s="1">
        <v>6</v>
      </c>
      <c r="K128" s="1">
        <f>SUM(J128:J133)</f>
        <v>10</v>
      </c>
      <c r="L128" s="1">
        <v>5</v>
      </c>
      <c r="M128" s="1">
        <f>SUM(L128:L133)</f>
        <v>5</v>
      </c>
      <c r="N128" s="1">
        <v>5</v>
      </c>
      <c r="O128" s="1">
        <f>SUM(N128:N133)</f>
        <v>5</v>
      </c>
      <c r="P128" s="1">
        <v>5</v>
      </c>
      <c r="Q128" s="1">
        <f>SUM(P128:P133)</f>
        <v>5</v>
      </c>
      <c r="R128" s="1">
        <v>0</v>
      </c>
      <c r="S128" s="1">
        <f>SUM(R128:R133)</f>
        <v>0</v>
      </c>
      <c r="T128" s="6">
        <f t="shared" si="1"/>
        <v>75</v>
      </c>
      <c r="U128" s="1" t="str">
        <f>_xlfn.IFS(T128=0,"null",T128="A","absent", T128&gt;=95,"A",T128&gt;=81,"B",T128&gt;=65,"C",T128&gt;=50,"D",T128&gt;=39,"E",T128&lt;39,"F")</f>
        <v>C</v>
      </c>
    </row>
    <row r="129" spans="1:21" x14ac:dyDescent="0.35">
      <c r="B129" s="2">
        <v>3</v>
      </c>
      <c r="D129">
        <v>7</v>
      </c>
      <c r="F129" s="1">
        <v>2</v>
      </c>
      <c r="H129" s="1">
        <v>0</v>
      </c>
      <c r="J129" s="1">
        <v>4</v>
      </c>
      <c r="L129" s="1">
        <v>0</v>
      </c>
      <c r="N129" s="1">
        <v>0</v>
      </c>
      <c r="P129" s="1">
        <v>0</v>
      </c>
      <c r="R129" s="1">
        <v>0</v>
      </c>
      <c r="T129" s="6">
        <f t="shared" si="1"/>
        <v>0</v>
      </c>
      <c r="U129" s="1" t="str" cm="1">
        <f t="array" ref="U129">_xlfn.IFS(T129=0,"null",T129="A","absent", T129&gt;=89,"A",T129&gt;=77,"B",T129&gt;=65,"C",T129&gt;=53,"D",T129&gt;=41,"E",T129&lt;=40,"F")</f>
        <v>null</v>
      </c>
    </row>
    <row r="130" spans="1:21" x14ac:dyDescent="0.35">
      <c r="B130" s="2">
        <v>4</v>
      </c>
      <c r="D130">
        <v>2</v>
      </c>
      <c r="F130" s="1">
        <v>1</v>
      </c>
      <c r="H130" s="1">
        <v>0</v>
      </c>
      <c r="J130" s="1">
        <v>0</v>
      </c>
      <c r="L130" s="1">
        <v>0</v>
      </c>
      <c r="N130" s="1">
        <v>0</v>
      </c>
      <c r="P130" s="1">
        <v>0</v>
      </c>
      <c r="R130" s="1">
        <v>0</v>
      </c>
      <c r="T130" s="6">
        <f t="shared" si="1"/>
        <v>0</v>
      </c>
      <c r="U130" s="1" t="str" cm="1">
        <f t="array" ref="U130">_xlfn.IFS(T130=0,"null",T130="A","absent", T130&gt;=89,"A",T130&gt;=77,"B",T130&gt;=65,"C",T130&gt;=53,"D",T130&gt;=41,"E",T130&lt;=40,"F")</f>
        <v>null</v>
      </c>
    </row>
    <row r="131" spans="1:21" x14ac:dyDescent="0.35">
      <c r="B131" s="2">
        <v>4</v>
      </c>
      <c r="D131">
        <v>2</v>
      </c>
      <c r="F131" s="1">
        <v>2</v>
      </c>
      <c r="H131" s="1">
        <v>0</v>
      </c>
      <c r="J131" s="1">
        <v>0</v>
      </c>
      <c r="L131" s="1">
        <v>0</v>
      </c>
      <c r="N131" s="1">
        <v>0</v>
      </c>
      <c r="P131" s="1">
        <v>0</v>
      </c>
      <c r="R131" s="1">
        <v>0</v>
      </c>
      <c r="T131" s="6">
        <f t="shared" ref="T131:T194" si="2">C131+E131+G131+I131+K131+M131+O131+Q131+S131</f>
        <v>0</v>
      </c>
      <c r="U131" s="1" t="str" cm="1">
        <f t="array" ref="U131">_xlfn.IFS(T131=0,"null",T131="A","absent", T131&gt;=89,"A",T131&gt;=77,"B",T131&gt;=65,"C",T131&gt;=53,"D",T131&gt;=41,"E",T131&lt;=40,"F")</f>
        <v>null</v>
      </c>
    </row>
    <row r="132" spans="1:21" x14ac:dyDescent="0.35">
      <c r="B132" s="2">
        <v>0</v>
      </c>
      <c r="D132">
        <v>0</v>
      </c>
      <c r="F132" s="1">
        <v>2</v>
      </c>
      <c r="H132" s="1">
        <v>0</v>
      </c>
      <c r="J132" s="1">
        <v>0</v>
      </c>
      <c r="L132" s="1">
        <v>0</v>
      </c>
      <c r="N132" s="1">
        <v>0</v>
      </c>
      <c r="P132" s="1">
        <v>0</v>
      </c>
      <c r="R132" s="1">
        <v>0</v>
      </c>
      <c r="T132" s="6">
        <f t="shared" si="2"/>
        <v>0</v>
      </c>
      <c r="U132" s="1" t="str" cm="1">
        <f t="array" ref="U132">_xlfn.IFS(T132=0,"null",T132="A","absent", T132&gt;=89,"A",T132&gt;=77,"B",T132&gt;=65,"C",T132&gt;=53,"D",T132&gt;=41,"E",T132&lt;=40,"F")</f>
        <v>null</v>
      </c>
    </row>
    <row r="133" spans="1:21" x14ac:dyDescent="0.35">
      <c r="B133" s="2">
        <v>0</v>
      </c>
      <c r="D133">
        <v>0</v>
      </c>
      <c r="F133" s="1">
        <v>1</v>
      </c>
      <c r="H133" s="1">
        <v>0</v>
      </c>
      <c r="J133" s="1">
        <v>0</v>
      </c>
      <c r="L133" s="1">
        <v>0</v>
      </c>
      <c r="N133" s="1">
        <v>0</v>
      </c>
      <c r="P133" s="1">
        <v>0</v>
      </c>
      <c r="R133" s="1">
        <v>0</v>
      </c>
      <c r="T133" s="6">
        <f t="shared" si="2"/>
        <v>0</v>
      </c>
      <c r="U133" s="1" t="str" cm="1">
        <f t="array" ref="U133">_xlfn.IFS(T133=0,"null",T133="A","absent", T133&gt;=89,"A",T133&gt;=77,"B",T133&gt;=65,"C",T133&gt;=53,"D",T133&gt;=41,"E",T133&lt;=40,"F")</f>
        <v>null</v>
      </c>
    </row>
    <row r="134" spans="1:21" x14ac:dyDescent="0.35">
      <c r="A134" s="3">
        <v>23</v>
      </c>
      <c r="B134" s="2">
        <v>8</v>
      </c>
      <c r="C134" s="1">
        <f>SUM(B134:B139)</f>
        <v>11</v>
      </c>
      <c r="D134">
        <v>4</v>
      </c>
      <c r="E134" s="1">
        <f>SUM(D134:D139)</f>
        <v>19</v>
      </c>
      <c r="F134" s="1">
        <v>10</v>
      </c>
      <c r="G134" s="1">
        <f>SUM(F134:F139)</f>
        <v>20</v>
      </c>
      <c r="H134" s="1">
        <v>0</v>
      </c>
      <c r="I134" s="1">
        <f>SUM(H134:H139)</f>
        <v>0</v>
      </c>
      <c r="J134" s="1">
        <v>6</v>
      </c>
      <c r="K134" s="1">
        <f>SUM(J134:J139)</f>
        <v>10</v>
      </c>
      <c r="L134" s="1">
        <v>5</v>
      </c>
      <c r="M134" s="1">
        <f>SUM(L134:L139)</f>
        <v>5</v>
      </c>
      <c r="N134" s="1">
        <v>5</v>
      </c>
      <c r="O134" s="1">
        <f>SUM(N134:N139)</f>
        <v>5</v>
      </c>
      <c r="P134" s="1">
        <v>5</v>
      </c>
      <c r="Q134" s="1">
        <f>SUM(P134:P139)</f>
        <v>5</v>
      </c>
      <c r="R134" s="1">
        <v>5</v>
      </c>
      <c r="S134" s="1">
        <f>SUM(R134:R139)</f>
        <v>5</v>
      </c>
      <c r="T134" s="6">
        <f t="shared" si="2"/>
        <v>80</v>
      </c>
      <c r="U134" s="1" t="str">
        <f>_xlfn.IFS(T134=0,"null",T134="A","absent", T134&gt;=95,"A",T134&gt;=81,"B",T134&gt;=65,"C",T134&gt;=50,"D",T134&gt;=39,"E",T134&lt;39,"F")</f>
        <v>C</v>
      </c>
    </row>
    <row r="135" spans="1:21" x14ac:dyDescent="0.35">
      <c r="B135" s="2">
        <v>3</v>
      </c>
      <c r="D135">
        <v>7</v>
      </c>
      <c r="F135" s="1">
        <v>2</v>
      </c>
      <c r="H135" s="1">
        <v>0</v>
      </c>
      <c r="J135" s="1">
        <v>4</v>
      </c>
      <c r="L135" s="1">
        <v>0</v>
      </c>
      <c r="N135" s="1">
        <v>0</v>
      </c>
      <c r="P135" s="1">
        <v>0</v>
      </c>
      <c r="R135" s="1">
        <v>0</v>
      </c>
      <c r="T135" s="6">
        <f t="shared" si="2"/>
        <v>0</v>
      </c>
      <c r="U135" s="1" t="str" cm="1">
        <f t="array" ref="U135">_xlfn.IFS(T135=0,"null",T135="A","absent", T135&gt;=89,"A",T135&gt;=77,"B",T135&gt;=65,"C",T135&gt;=53,"D",T135&gt;=41,"E",T135&lt;=40,"F")</f>
        <v>null</v>
      </c>
    </row>
    <row r="136" spans="1:21" x14ac:dyDescent="0.35">
      <c r="B136" s="2">
        <v>0</v>
      </c>
      <c r="D136">
        <v>3</v>
      </c>
      <c r="F136" s="1">
        <v>2</v>
      </c>
      <c r="H136" s="1">
        <v>0</v>
      </c>
      <c r="J136" s="1">
        <v>0</v>
      </c>
      <c r="L136" s="1">
        <v>0</v>
      </c>
      <c r="N136" s="1">
        <v>0</v>
      </c>
      <c r="P136" s="1">
        <v>0</v>
      </c>
      <c r="R136" s="1">
        <v>0</v>
      </c>
      <c r="T136" s="6">
        <f t="shared" si="2"/>
        <v>0</v>
      </c>
      <c r="U136" s="1" t="str" cm="1">
        <f t="array" ref="U136">_xlfn.IFS(T136=0,"null",T136="A","absent", T136&gt;=89,"A",T136&gt;=77,"B",T136&gt;=65,"C",T136&gt;=53,"D",T136&gt;=41,"E",T136&lt;=40,"F")</f>
        <v>null</v>
      </c>
    </row>
    <row r="137" spans="1:21" x14ac:dyDescent="0.35">
      <c r="B137" s="2">
        <v>0</v>
      </c>
      <c r="D137">
        <v>3</v>
      </c>
      <c r="F137" s="1">
        <v>2</v>
      </c>
      <c r="H137" s="1">
        <v>0</v>
      </c>
      <c r="J137" s="1">
        <v>0</v>
      </c>
      <c r="L137" s="1">
        <v>0</v>
      </c>
      <c r="N137" s="1">
        <v>0</v>
      </c>
      <c r="P137" s="1">
        <v>0</v>
      </c>
      <c r="R137" s="1">
        <v>0</v>
      </c>
      <c r="T137" s="6">
        <f t="shared" si="2"/>
        <v>0</v>
      </c>
      <c r="U137" s="1" t="str" cm="1">
        <f t="array" ref="U137">_xlfn.IFS(T137=0,"null",T137="A","absent", T137&gt;=89,"A",T137&gt;=77,"B",T137&gt;=65,"C",T137&gt;=53,"D",T137&gt;=41,"E",T137&lt;=40,"F")</f>
        <v>null</v>
      </c>
    </row>
    <row r="138" spans="1:21" x14ac:dyDescent="0.35">
      <c r="B138" s="2">
        <v>0</v>
      </c>
      <c r="D138">
        <v>2</v>
      </c>
      <c r="F138" s="1">
        <v>2</v>
      </c>
      <c r="H138" s="1">
        <v>0</v>
      </c>
      <c r="J138" s="1">
        <v>0</v>
      </c>
      <c r="L138" s="1">
        <v>0</v>
      </c>
      <c r="N138" s="1">
        <v>0</v>
      </c>
      <c r="P138" s="1">
        <v>0</v>
      </c>
      <c r="R138" s="1">
        <v>0</v>
      </c>
      <c r="T138" s="6">
        <f t="shared" si="2"/>
        <v>0</v>
      </c>
      <c r="U138" s="1" t="str" cm="1">
        <f t="array" ref="U138">_xlfn.IFS(T138=0,"null",T138="A","absent", T138&gt;=89,"A",T138&gt;=77,"B",T138&gt;=65,"C",T138&gt;=53,"D",T138&gt;=41,"E",T138&lt;=40,"F")</f>
        <v>null</v>
      </c>
    </row>
    <row r="139" spans="1:21" x14ac:dyDescent="0.35">
      <c r="B139" s="2">
        <v>0</v>
      </c>
      <c r="D139">
        <v>0</v>
      </c>
      <c r="F139" s="1">
        <v>2</v>
      </c>
      <c r="H139" s="1">
        <v>0</v>
      </c>
      <c r="J139" s="1">
        <v>0</v>
      </c>
      <c r="L139" s="1">
        <v>0</v>
      </c>
      <c r="N139" s="1">
        <v>0</v>
      </c>
      <c r="P139" s="1">
        <v>0</v>
      </c>
      <c r="R139" s="1">
        <v>0</v>
      </c>
      <c r="T139" s="6">
        <f t="shared" si="2"/>
        <v>0</v>
      </c>
      <c r="U139" s="1" t="str" cm="1">
        <f t="array" ref="U139">_xlfn.IFS(T139=0,"null",T139="A","absent", T139&gt;=89,"A",T139&gt;=77,"B",T139&gt;=65,"C",T139&gt;=53,"D",T139&gt;=41,"E",T139&lt;=40,"F")</f>
        <v>null</v>
      </c>
    </row>
    <row r="140" spans="1:21" x14ac:dyDescent="0.35">
      <c r="A140" s="3">
        <v>24</v>
      </c>
      <c r="B140" s="2">
        <v>8</v>
      </c>
      <c r="C140" s="1">
        <f>SUM(B140:B145)</f>
        <v>20</v>
      </c>
      <c r="D140">
        <v>2</v>
      </c>
      <c r="E140" s="1">
        <f>SUM(D140:D145)</f>
        <v>12</v>
      </c>
      <c r="F140" s="1">
        <v>10</v>
      </c>
      <c r="G140" s="1">
        <f>SUM(F140:F145)</f>
        <v>18</v>
      </c>
      <c r="H140" s="1">
        <v>5</v>
      </c>
      <c r="I140" s="1">
        <f>SUM(H140:H145)</f>
        <v>10</v>
      </c>
      <c r="J140" s="1">
        <v>6</v>
      </c>
      <c r="K140" s="1">
        <f>SUM(J140:J145)</f>
        <v>10</v>
      </c>
      <c r="L140" s="1">
        <v>5</v>
      </c>
      <c r="M140" s="1">
        <f>SUM(L140:L145)</f>
        <v>5</v>
      </c>
      <c r="N140" s="1">
        <v>5</v>
      </c>
      <c r="O140" s="1">
        <f>SUM(N140:N145)</f>
        <v>5</v>
      </c>
      <c r="P140" s="1">
        <v>5</v>
      </c>
      <c r="Q140" s="1">
        <f>SUM(P140:P145)</f>
        <v>5</v>
      </c>
      <c r="R140" s="1">
        <v>5</v>
      </c>
      <c r="S140" s="1">
        <f>SUM(R140:R145)</f>
        <v>5</v>
      </c>
      <c r="T140" s="6">
        <f t="shared" si="2"/>
        <v>90</v>
      </c>
      <c r="U140" s="1" t="str">
        <f>_xlfn.IFS(T140=0,"null",T140="A","absent", T140&gt;=95,"A",T140&gt;=81,"B",T140&gt;=65,"C",T140&gt;=50,"D",T140&gt;=39,"E",T140&lt;39,"F")</f>
        <v>B</v>
      </c>
    </row>
    <row r="141" spans="1:21" x14ac:dyDescent="0.35">
      <c r="B141" s="2">
        <v>3</v>
      </c>
      <c r="D141">
        <v>6</v>
      </c>
      <c r="F141" s="1">
        <v>1</v>
      </c>
      <c r="H141" s="1">
        <v>3</v>
      </c>
      <c r="J141" s="1">
        <v>4</v>
      </c>
      <c r="L141" s="1">
        <v>0</v>
      </c>
      <c r="N141" s="1">
        <v>0</v>
      </c>
      <c r="P141" s="1">
        <v>0</v>
      </c>
      <c r="R141" s="1">
        <v>0</v>
      </c>
      <c r="T141" s="6">
        <f t="shared" si="2"/>
        <v>0</v>
      </c>
      <c r="U141" s="1" t="str" cm="1">
        <f t="array" ref="U141">_xlfn.IFS(T141=0,"null",T141="A","absent", T141&gt;=89,"A",T141&gt;=77,"B",T141&gt;=65,"C",T141&gt;=53,"D",T141&gt;=41,"E",T141&lt;=40,"F")</f>
        <v>null</v>
      </c>
    </row>
    <row r="142" spans="1:21" x14ac:dyDescent="0.35">
      <c r="B142" s="2">
        <v>4</v>
      </c>
      <c r="D142">
        <v>1</v>
      </c>
      <c r="F142" s="1">
        <v>1</v>
      </c>
      <c r="H142" s="1">
        <v>2</v>
      </c>
      <c r="J142" s="1">
        <v>0</v>
      </c>
      <c r="L142" s="1">
        <v>0</v>
      </c>
      <c r="N142" s="1">
        <v>0</v>
      </c>
      <c r="P142" s="1">
        <v>0</v>
      </c>
      <c r="R142" s="1">
        <v>0</v>
      </c>
      <c r="T142" s="6">
        <f t="shared" si="2"/>
        <v>0</v>
      </c>
      <c r="U142" s="1" t="str" cm="1">
        <f t="array" ref="U142">_xlfn.IFS(T142=0,"null",T142="A","absent", T142&gt;=89,"A",T142&gt;=77,"B",T142&gt;=65,"C",T142&gt;=53,"D",T142&gt;=41,"E",T142&lt;=40,"F")</f>
        <v>null</v>
      </c>
    </row>
    <row r="143" spans="1:21" x14ac:dyDescent="0.35">
      <c r="B143" s="2">
        <v>5</v>
      </c>
      <c r="D143">
        <v>1</v>
      </c>
      <c r="F143" s="1">
        <v>2</v>
      </c>
      <c r="H143" s="1">
        <v>0</v>
      </c>
      <c r="J143" s="1">
        <v>0</v>
      </c>
      <c r="L143" s="1">
        <v>0</v>
      </c>
      <c r="N143" s="1">
        <v>0</v>
      </c>
      <c r="P143" s="1">
        <v>0</v>
      </c>
      <c r="R143" s="1">
        <v>0</v>
      </c>
      <c r="T143" s="6">
        <f t="shared" si="2"/>
        <v>0</v>
      </c>
      <c r="U143" s="1" t="str" cm="1">
        <f t="array" ref="U143">_xlfn.IFS(T143=0,"null",T143="A","absent", T143&gt;=89,"A",T143&gt;=77,"B",T143&gt;=65,"C",T143&gt;=53,"D",T143&gt;=41,"E",T143&lt;=40,"F")</f>
        <v>null</v>
      </c>
    </row>
    <row r="144" spans="1:21" x14ac:dyDescent="0.35">
      <c r="B144" s="2">
        <v>0</v>
      </c>
      <c r="D144">
        <v>2</v>
      </c>
      <c r="F144" s="1">
        <v>2</v>
      </c>
      <c r="H144" s="1">
        <v>0</v>
      </c>
      <c r="J144" s="1">
        <v>0</v>
      </c>
      <c r="L144" s="1">
        <v>0</v>
      </c>
      <c r="N144" s="1">
        <v>0</v>
      </c>
      <c r="P144" s="1">
        <v>0</v>
      </c>
      <c r="R144" s="1">
        <v>0</v>
      </c>
      <c r="T144" s="6">
        <f t="shared" si="2"/>
        <v>0</v>
      </c>
      <c r="U144" s="1" t="str" cm="1">
        <f t="array" ref="U144">_xlfn.IFS(T144=0,"null",T144="A","absent", T144&gt;=89,"A",T144&gt;=77,"B",T144&gt;=65,"C",T144&gt;=53,"D",T144&gt;=41,"E",T144&lt;=40,"F")</f>
        <v>null</v>
      </c>
    </row>
    <row r="145" spans="1:21" x14ac:dyDescent="0.35">
      <c r="B145" s="2">
        <v>0</v>
      </c>
      <c r="D145">
        <v>0</v>
      </c>
      <c r="F145" s="1">
        <v>2</v>
      </c>
      <c r="H145" s="1">
        <v>0</v>
      </c>
      <c r="J145" s="1">
        <v>0</v>
      </c>
      <c r="L145" s="1">
        <v>0</v>
      </c>
      <c r="N145" s="1">
        <v>0</v>
      </c>
      <c r="P145" s="1">
        <v>0</v>
      </c>
      <c r="R145" s="1">
        <v>0</v>
      </c>
      <c r="T145" s="6">
        <f t="shared" si="2"/>
        <v>0</v>
      </c>
      <c r="U145" s="1" t="str" cm="1">
        <f t="array" ref="U145">_xlfn.IFS(T145=0,"null",T145="A","absent", T145&gt;=89,"A",T145&gt;=77,"B",T145&gt;=65,"C",T145&gt;=53,"D",T145&gt;=41,"E",T145&lt;=40,"F")</f>
        <v>null</v>
      </c>
    </row>
    <row r="146" spans="1:21" ht="14" customHeight="1" x14ac:dyDescent="0.35">
      <c r="A146" s="3">
        <v>25</v>
      </c>
      <c r="B146" s="2">
        <v>5</v>
      </c>
      <c r="C146" s="1">
        <f>SUM(B146:B151)</f>
        <v>6</v>
      </c>
      <c r="D146">
        <v>0</v>
      </c>
      <c r="E146" s="1">
        <f>SUM(D146:D151)</f>
        <v>0</v>
      </c>
      <c r="F146" s="1">
        <v>10</v>
      </c>
      <c r="G146" s="1">
        <f>SUM(F146:F151)</f>
        <v>17</v>
      </c>
      <c r="H146" s="1">
        <v>4</v>
      </c>
      <c r="I146" s="1">
        <f>SUM(H146:H151)</f>
        <v>7</v>
      </c>
      <c r="J146" s="1">
        <v>0</v>
      </c>
      <c r="K146" s="1">
        <f>SUM(J146:J151)</f>
        <v>0</v>
      </c>
      <c r="L146" s="1">
        <v>3</v>
      </c>
      <c r="M146" s="1">
        <f>SUM(L146:L151)</f>
        <v>3</v>
      </c>
      <c r="N146" s="1">
        <v>3</v>
      </c>
      <c r="O146" s="1">
        <f>SUM(N146:N151)</f>
        <v>3</v>
      </c>
      <c r="P146" s="1">
        <v>5</v>
      </c>
      <c r="Q146" s="1">
        <f>SUM(P146:P151)</f>
        <v>5</v>
      </c>
      <c r="R146" s="1">
        <v>5</v>
      </c>
      <c r="S146" s="1">
        <f>SUM(R146:R151)</f>
        <v>5</v>
      </c>
      <c r="T146" s="6">
        <f t="shared" si="2"/>
        <v>46</v>
      </c>
      <c r="U146" s="1" t="str">
        <f>_xlfn.IFS(T146=0,"null",T146="A","absent", T146&gt;=95,"A",T146&gt;=81,"B",T146&gt;=65,"C",T146&gt;=50,"D",T146&gt;=39,"E",T146&lt;39,"F")</f>
        <v>E</v>
      </c>
    </row>
    <row r="147" spans="1:21" x14ac:dyDescent="0.35">
      <c r="B147" s="2">
        <v>1</v>
      </c>
      <c r="D147">
        <v>0</v>
      </c>
      <c r="F147" s="1">
        <v>2</v>
      </c>
      <c r="H147" s="1">
        <v>3</v>
      </c>
      <c r="J147" s="1">
        <v>0</v>
      </c>
      <c r="L147" s="1">
        <v>0</v>
      </c>
      <c r="N147" s="1">
        <v>0</v>
      </c>
      <c r="P147" s="1">
        <v>0</v>
      </c>
      <c r="R147" s="1">
        <v>0</v>
      </c>
      <c r="T147" s="6">
        <f t="shared" si="2"/>
        <v>0</v>
      </c>
      <c r="U147" s="1" t="str" cm="1">
        <f t="array" ref="U147">_xlfn.IFS(T147=0,"null",T147="A","absent", T147&gt;=89,"A",T147&gt;=77,"B",T147&gt;=65,"C",T147&gt;=53,"D",T147&gt;=41,"E",T147&lt;=40,"F")</f>
        <v>null</v>
      </c>
    </row>
    <row r="148" spans="1:21" x14ac:dyDescent="0.35">
      <c r="B148" s="2">
        <v>0</v>
      </c>
      <c r="D148">
        <v>0</v>
      </c>
      <c r="F148" s="1">
        <v>2</v>
      </c>
      <c r="H148" s="1">
        <v>0</v>
      </c>
      <c r="J148" s="1">
        <v>0</v>
      </c>
      <c r="L148" s="1">
        <v>0</v>
      </c>
      <c r="N148" s="1">
        <v>0</v>
      </c>
      <c r="P148" s="1">
        <v>0</v>
      </c>
      <c r="R148" s="1">
        <v>0</v>
      </c>
      <c r="T148" s="6">
        <f t="shared" si="2"/>
        <v>0</v>
      </c>
      <c r="U148" s="1" t="str" cm="1">
        <f t="array" ref="U148">_xlfn.IFS(T148=0,"null",T148="A","absent", T148&gt;=89,"A",T148&gt;=77,"B",T148&gt;=65,"C",T148&gt;=53,"D",T148&gt;=41,"E",T148&lt;=40,"F")</f>
        <v>null</v>
      </c>
    </row>
    <row r="149" spans="1:21" x14ac:dyDescent="0.35">
      <c r="B149" s="2">
        <v>0</v>
      </c>
      <c r="D149">
        <v>0</v>
      </c>
      <c r="F149" s="1">
        <v>1</v>
      </c>
      <c r="H149" s="1">
        <v>0</v>
      </c>
      <c r="J149" s="1">
        <v>0</v>
      </c>
      <c r="L149" s="1">
        <v>0</v>
      </c>
      <c r="N149" s="1">
        <v>0</v>
      </c>
      <c r="P149" s="1">
        <v>0</v>
      </c>
      <c r="R149" s="1">
        <v>0</v>
      </c>
      <c r="T149" s="6">
        <f t="shared" si="2"/>
        <v>0</v>
      </c>
      <c r="U149" s="1" t="str" cm="1">
        <f t="array" ref="U149">_xlfn.IFS(T149=0,"null",T149="A","absent", T149&gt;=89,"A",T149&gt;=77,"B",T149&gt;=65,"C",T149&gt;=53,"D",T149&gt;=41,"E",T149&lt;=40,"F")</f>
        <v>null</v>
      </c>
    </row>
    <row r="150" spans="1:21" x14ac:dyDescent="0.35">
      <c r="B150" s="2">
        <v>0</v>
      </c>
      <c r="D150">
        <v>0</v>
      </c>
      <c r="F150" s="1">
        <v>1</v>
      </c>
      <c r="H150" s="1">
        <v>0</v>
      </c>
      <c r="J150" s="1">
        <v>0</v>
      </c>
      <c r="L150" s="1">
        <v>0</v>
      </c>
      <c r="N150" s="1">
        <v>0</v>
      </c>
      <c r="P150" s="1">
        <v>0</v>
      </c>
      <c r="R150" s="1">
        <v>0</v>
      </c>
      <c r="T150" s="6">
        <f t="shared" si="2"/>
        <v>0</v>
      </c>
      <c r="U150" s="1" t="str" cm="1">
        <f t="array" ref="U150">_xlfn.IFS(T150=0,"null",T150="A","absent", T150&gt;=89,"A",T150&gt;=77,"B",T150&gt;=65,"C",T150&gt;=53,"D",T150&gt;=41,"E",T150&lt;=40,"F")</f>
        <v>null</v>
      </c>
    </row>
    <row r="151" spans="1:21" x14ac:dyDescent="0.35">
      <c r="B151" s="2">
        <v>0</v>
      </c>
      <c r="D151">
        <v>0</v>
      </c>
      <c r="F151" s="1">
        <v>1</v>
      </c>
      <c r="H151" s="1">
        <v>0</v>
      </c>
      <c r="J151" s="1">
        <v>0</v>
      </c>
      <c r="L151" s="1">
        <v>0</v>
      </c>
      <c r="N151" s="1">
        <v>0</v>
      </c>
      <c r="P151" s="1">
        <v>0</v>
      </c>
      <c r="R151" s="1">
        <v>0</v>
      </c>
      <c r="T151" s="6">
        <f t="shared" si="2"/>
        <v>0</v>
      </c>
      <c r="U151" s="1" t="str" cm="1">
        <f t="array" ref="U151">_xlfn.IFS(T151=0,"null",T151="A","absent", T151&gt;=89,"A",T151&gt;=77,"B",T151&gt;=65,"C",T151&gt;=53,"D",T151&gt;=41,"E",T151&lt;=40,"F")</f>
        <v>null</v>
      </c>
    </row>
    <row r="152" spans="1:21" x14ac:dyDescent="0.35">
      <c r="A152" s="3">
        <v>26</v>
      </c>
      <c r="B152" s="2">
        <v>8</v>
      </c>
      <c r="C152" s="1">
        <f>SUM(B152:B157)</f>
        <v>12</v>
      </c>
      <c r="D152">
        <v>4</v>
      </c>
      <c r="E152" s="1">
        <f>SUM(D152:D157)</f>
        <v>18</v>
      </c>
      <c r="F152" s="1">
        <v>10</v>
      </c>
      <c r="G152" s="1">
        <f>SUM(F152:F157)</f>
        <v>20</v>
      </c>
      <c r="H152" s="1">
        <v>3</v>
      </c>
      <c r="I152" s="1">
        <f>SUM(H152:H157)</f>
        <v>5</v>
      </c>
      <c r="J152" s="1">
        <v>6</v>
      </c>
      <c r="K152" s="1">
        <f>SUM(J152:J157)</f>
        <v>10</v>
      </c>
      <c r="L152" s="1">
        <v>5</v>
      </c>
      <c r="M152" s="1">
        <f>SUM(L152:L157)</f>
        <v>5</v>
      </c>
      <c r="N152" s="1">
        <v>5</v>
      </c>
      <c r="O152" s="1">
        <f>SUM(N152:N157)</f>
        <v>5</v>
      </c>
      <c r="P152" s="1">
        <v>5</v>
      </c>
      <c r="Q152" s="1">
        <f>SUM(P152:P157)</f>
        <v>5</v>
      </c>
      <c r="R152" s="1">
        <v>5</v>
      </c>
      <c r="S152" s="1">
        <f>SUM(R152:R157)</f>
        <v>5</v>
      </c>
      <c r="T152" s="6">
        <f t="shared" si="2"/>
        <v>85</v>
      </c>
      <c r="U152" s="1" t="str">
        <f>_xlfn.IFS(T152=0,"null",T152="A","absent", T152&gt;=95,"A",T152&gt;=81,"B",T152&gt;=65,"C",T152&gt;=50,"D",T152&gt;=39,"E",T152&lt;39,"F")</f>
        <v>B</v>
      </c>
    </row>
    <row r="153" spans="1:21" x14ac:dyDescent="0.35">
      <c r="B153" s="2">
        <v>3</v>
      </c>
      <c r="D153">
        <v>8</v>
      </c>
      <c r="F153" s="1">
        <v>2</v>
      </c>
      <c r="H153" s="1">
        <v>1</v>
      </c>
      <c r="J153" s="1">
        <v>4</v>
      </c>
      <c r="L153" s="1">
        <v>0</v>
      </c>
      <c r="N153" s="1">
        <v>0</v>
      </c>
      <c r="P153" s="1">
        <v>0</v>
      </c>
      <c r="R153" s="1">
        <v>0</v>
      </c>
      <c r="T153" s="6">
        <f t="shared" si="2"/>
        <v>0</v>
      </c>
      <c r="U153" s="1" t="str" cm="1">
        <f t="array" ref="U153">_xlfn.IFS(T153=0,"null",T153="A","absent", T153&gt;=89,"A",T153&gt;=77,"B",T153&gt;=65,"C",T153&gt;=53,"D",T153&gt;=41,"E",T153&lt;=40,"F")</f>
        <v>null</v>
      </c>
    </row>
    <row r="154" spans="1:21" x14ac:dyDescent="0.35">
      <c r="B154" s="2">
        <v>1</v>
      </c>
      <c r="D154">
        <v>2</v>
      </c>
      <c r="F154" s="1">
        <v>2</v>
      </c>
      <c r="H154" s="1">
        <v>1</v>
      </c>
      <c r="J154" s="1">
        <v>0</v>
      </c>
      <c r="L154" s="1">
        <v>0</v>
      </c>
      <c r="N154" s="1">
        <v>0</v>
      </c>
      <c r="P154" s="1">
        <v>0</v>
      </c>
      <c r="R154" s="1">
        <v>0</v>
      </c>
      <c r="T154" s="6">
        <f t="shared" si="2"/>
        <v>0</v>
      </c>
      <c r="U154" s="1" t="str" cm="1">
        <f t="array" ref="U154">_xlfn.IFS(T154=0,"null",T154="A","absent", T154&gt;=89,"A",T154&gt;=77,"B",T154&gt;=65,"C",T154&gt;=53,"D",T154&gt;=41,"E",T154&lt;=40,"F")</f>
        <v>null</v>
      </c>
    </row>
    <row r="155" spans="1:21" x14ac:dyDescent="0.35">
      <c r="B155" s="2">
        <v>0</v>
      </c>
      <c r="D155">
        <v>2</v>
      </c>
      <c r="F155" s="1">
        <v>2</v>
      </c>
      <c r="H155" s="1">
        <v>0</v>
      </c>
      <c r="J155" s="1">
        <v>0</v>
      </c>
      <c r="L155" s="1">
        <v>0</v>
      </c>
      <c r="N155" s="1">
        <v>0</v>
      </c>
      <c r="P155" s="1">
        <v>0</v>
      </c>
      <c r="R155" s="1">
        <v>0</v>
      </c>
      <c r="T155" s="6">
        <f t="shared" si="2"/>
        <v>0</v>
      </c>
      <c r="U155" s="1" t="str" cm="1">
        <f t="array" ref="U155">_xlfn.IFS(T155=0,"null",T155="A","absent", T155&gt;=89,"A",T155&gt;=77,"B",T155&gt;=65,"C",T155&gt;=53,"D",T155&gt;=41,"E",T155&lt;=40,"F")</f>
        <v>null</v>
      </c>
    </row>
    <row r="156" spans="1:21" x14ac:dyDescent="0.35">
      <c r="B156" s="2">
        <v>0</v>
      </c>
      <c r="D156">
        <v>2</v>
      </c>
      <c r="F156" s="1">
        <v>2</v>
      </c>
      <c r="H156" s="1">
        <v>0</v>
      </c>
      <c r="J156" s="1">
        <v>0</v>
      </c>
      <c r="L156" s="1">
        <v>0</v>
      </c>
      <c r="N156" s="1">
        <v>0</v>
      </c>
      <c r="P156" s="1">
        <v>0</v>
      </c>
      <c r="R156" s="1">
        <v>0</v>
      </c>
      <c r="T156" s="6">
        <f t="shared" si="2"/>
        <v>0</v>
      </c>
      <c r="U156" s="1" t="str" cm="1">
        <f t="array" ref="U156">_xlfn.IFS(T156=0,"null",T156="A","absent", T156&gt;=89,"A",T156&gt;=77,"B",T156&gt;=65,"C",T156&gt;=53,"D",T156&gt;=41,"E",T156&lt;=40,"F")</f>
        <v>null</v>
      </c>
    </row>
    <row r="157" spans="1:21" x14ac:dyDescent="0.35">
      <c r="B157" s="2">
        <v>0</v>
      </c>
      <c r="D157">
        <v>0</v>
      </c>
      <c r="F157" s="1">
        <v>2</v>
      </c>
      <c r="H157" s="1">
        <v>0</v>
      </c>
      <c r="J157" s="1">
        <v>0</v>
      </c>
      <c r="L157" s="1">
        <v>0</v>
      </c>
      <c r="N157" s="1">
        <v>0</v>
      </c>
      <c r="P157" s="1">
        <v>0</v>
      </c>
      <c r="R157" s="1">
        <v>0</v>
      </c>
      <c r="T157" s="6">
        <f t="shared" si="2"/>
        <v>0</v>
      </c>
      <c r="U157" s="1" t="str" cm="1">
        <f t="array" ref="U157">_xlfn.IFS(T157=0,"null",T157="A","absent", T157&gt;=89,"A",T157&gt;=77,"B",T157&gt;=65,"C",T157&gt;=53,"D",T157&gt;=41,"E",T157&lt;=40,"F")</f>
        <v>null</v>
      </c>
    </row>
    <row r="158" spans="1:21" x14ac:dyDescent="0.35">
      <c r="A158" s="3">
        <v>27</v>
      </c>
      <c r="B158" s="2">
        <v>5</v>
      </c>
      <c r="C158" s="1">
        <f>SUM(B158:B163)</f>
        <v>10</v>
      </c>
      <c r="D158">
        <v>4</v>
      </c>
      <c r="E158" s="1">
        <f>SUM(D158:D163)</f>
        <v>11</v>
      </c>
      <c r="F158" s="1">
        <v>9</v>
      </c>
      <c r="G158" s="1">
        <f>SUM(F158:F163)</f>
        <v>17</v>
      </c>
      <c r="H158" s="1">
        <v>2</v>
      </c>
      <c r="I158" s="1">
        <f>SUM(H158:H163)</f>
        <v>2</v>
      </c>
      <c r="J158" s="1">
        <v>3</v>
      </c>
      <c r="K158" s="1">
        <f>SUM(J158:J163)</f>
        <v>4</v>
      </c>
      <c r="L158" s="1">
        <v>4</v>
      </c>
      <c r="M158" s="1">
        <f>SUM(L158:L163)</f>
        <v>4</v>
      </c>
      <c r="N158" s="1">
        <v>5</v>
      </c>
      <c r="O158" s="1">
        <f>SUM(N158:N163)</f>
        <v>5</v>
      </c>
      <c r="P158" s="1">
        <v>1</v>
      </c>
      <c r="Q158" s="1">
        <f>SUM(P158:P163)</f>
        <v>1</v>
      </c>
      <c r="R158" s="1">
        <v>4</v>
      </c>
      <c r="S158" s="1">
        <f>SUM(R158:R163)</f>
        <v>4</v>
      </c>
      <c r="T158" s="6">
        <f t="shared" si="2"/>
        <v>58</v>
      </c>
      <c r="U158" s="1" t="str">
        <f>_xlfn.IFS(T158=0,"null",T158="A","absent", T158&gt;=95,"A",T158&gt;=81,"B",T158&gt;=65,"C",T158&gt;=50,"D",T158&gt;=39,"E",T158&lt;39,"F")</f>
        <v>D</v>
      </c>
    </row>
    <row r="159" spans="1:21" x14ac:dyDescent="0.35">
      <c r="B159" s="2">
        <v>1</v>
      </c>
      <c r="D159">
        <v>4</v>
      </c>
      <c r="F159" s="1">
        <v>2</v>
      </c>
      <c r="H159" s="1">
        <v>0</v>
      </c>
      <c r="J159" s="1">
        <v>1</v>
      </c>
      <c r="L159" s="1">
        <v>0</v>
      </c>
      <c r="N159" s="1">
        <v>0</v>
      </c>
      <c r="P159" s="1">
        <v>0</v>
      </c>
      <c r="R159" s="1">
        <v>0</v>
      </c>
      <c r="T159" s="6">
        <f t="shared" si="2"/>
        <v>0</v>
      </c>
      <c r="U159" s="1" t="str" cm="1">
        <f t="array" ref="U159">_xlfn.IFS(T159=0,"null",T159="A","absent", T159&gt;=89,"A",T159&gt;=77,"B",T159&gt;=65,"C",T159&gt;=53,"D",T159&gt;=41,"E",T159&lt;=40,"F")</f>
        <v>null</v>
      </c>
    </row>
    <row r="160" spans="1:21" x14ac:dyDescent="0.35">
      <c r="B160" s="2">
        <v>2</v>
      </c>
      <c r="D160">
        <v>1</v>
      </c>
      <c r="F160" s="1">
        <v>1</v>
      </c>
      <c r="H160" s="1">
        <v>0</v>
      </c>
      <c r="J160" s="1">
        <v>0</v>
      </c>
      <c r="L160" s="1">
        <v>0</v>
      </c>
      <c r="N160" s="1">
        <v>0</v>
      </c>
      <c r="P160" s="1">
        <v>0</v>
      </c>
      <c r="R160" s="1">
        <v>0</v>
      </c>
      <c r="T160" s="6">
        <f t="shared" si="2"/>
        <v>0</v>
      </c>
      <c r="U160" s="1" t="str" cm="1">
        <f t="array" ref="U160">_xlfn.IFS(T160=0,"null",T160="A","absent", T160&gt;=89,"A",T160&gt;=77,"B",T160&gt;=65,"C",T160&gt;=53,"D",T160&gt;=41,"E",T160&lt;=40,"F")</f>
        <v>null</v>
      </c>
    </row>
    <row r="161" spans="1:21" x14ac:dyDescent="0.35">
      <c r="B161" s="2">
        <v>2</v>
      </c>
      <c r="D161">
        <v>1</v>
      </c>
      <c r="F161" s="1">
        <v>2</v>
      </c>
      <c r="H161" s="1">
        <v>0</v>
      </c>
      <c r="J161" s="1">
        <v>0</v>
      </c>
      <c r="L161" s="1">
        <v>0</v>
      </c>
      <c r="N161" s="1">
        <v>0</v>
      </c>
      <c r="P161" s="1">
        <v>0</v>
      </c>
      <c r="R161" s="1">
        <v>0</v>
      </c>
      <c r="T161" s="6">
        <f t="shared" si="2"/>
        <v>0</v>
      </c>
      <c r="U161" s="1" t="str" cm="1">
        <f t="array" ref="U161">_xlfn.IFS(T161=0,"null",T161="A","absent", T161&gt;=89,"A",T161&gt;=77,"B",T161&gt;=65,"C",T161&gt;=53,"D",T161&gt;=41,"E",T161&lt;=40,"F")</f>
        <v>null</v>
      </c>
    </row>
    <row r="162" spans="1:21" x14ac:dyDescent="0.35">
      <c r="B162" s="2">
        <v>0</v>
      </c>
      <c r="D162">
        <v>1</v>
      </c>
      <c r="F162" s="1">
        <v>2</v>
      </c>
      <c r="H162" s="1">
        <v>0</v>
      </c>
      <c r="J162" s="1">
        <v>0</v>
      </c>
      <c r="L162" s="1">
        <v>0</v>
      </c>
      <c r="N162" s="1">
        <v>0</v>
      </c>
      <c r="P162" s="1">
        <v>0</v>
      </c>
      <c r="R162" s="1">
        <v>0</v>
      </c>
      <c r="T162" s="6">
        <f t="shared" si="2"/>
        <v>0</v>
      </c>
      <c r="U162" s="1" t="str" cm="1">
        <f t="array" ref="U162">_xlfn.IFS(T162=0,"null",T162="A","absent", T162&gt;=89,"A",T162&gt;=77,"B",T162&gt;=65,"C",T162&gt;=53,"D",T162&gt;=41,"E",T162&lt;=40,"F")</f>
        <v>null</v>
      </c>
    </row>
    <row r="163" spans="1:21" x14ac:dyDescent="0.35">
      <c r="B163" s="2">
        <v>0</v>
      </c>
      <c r="D163">
        <v>0</v>
      </c>
      <c r="F163" s="1">
        <v>1</v>
      </c>
      <c r="H163" s="1">
        <v>0</v>
      </c>
      <c r="J163" s="1">
        <v>0</v>
      </c>
      <c r="L163" s="1">
        <v>0</v>
      </c>
      <c r="N163" s="1">
        <v>0</v>
      </c>
      <c r="P163" s="1">
        <v>0</v>
      </c>
      <c r="R163" s="1">
        <v>0</v>
      </c>
      <c r="T163" s="6">
        <f t="shared" si="2"/>
        <v>0</v>
      </c>
      <c r="U163" s="1" t="str" cm="1">
        <f t="array" ref="U163">_xlfn.IFS(T163=0,"null",T163="A","absent", T163&gt;=89,"A",T163&gt;=77,"B",T163&gt;=65,"C",T163&gt;=53,"D",T163&gt;=41,"E",T163&lt;=40,"F")</f>
        <v>null</v>
      </c>
    </row>
    <row r="164" spans="1:21" x14ac:dyDescent="0.35">
      <c r="A164" s="3">
        <v>28</v>
      </c>
      <c r="B164" s="2">
        <v>8</v>
      </c>
      <c r="C164" s="1">
        <f>SUM(B164:B169)</f>
        <v>11</v>
      </c>
      <c r="D164">
        <v>3</v>
      </c>
      <c r="E164" s="1">
        <f>SUM(D164:D169)</f>
        <v>19</v>
      </c>
      <c r="F164" s="1">
        <v>10</v>
      </c>
      <c r="G164" s="1">
        <f>SUM(F164:F169)</f>
        <v>20</v>
      </c>
      <c r="H164" s="1">
        <v>5</v>
      </c>
      <c r="I164" s="1">
        <f>SUM(H164:H169)</f>
        <v>5</v>
      </c>
      <c r="J164" s="1">
        <v>3</v>
      </c>
      <c r="K164" s="1">
        <f>SUM(J164:J169)</f>
        <v>3</v>
      </c>
      <c r="L164" s="1">
        <v>5</v>
      </c>
      <c r="M164" s="1">
        <f>SUM(L164:L169)</f>
        <v>5</v>
      </c>
      <c r="N164" s="1">
        <v>0</v>
      </c>
      <c r="O164" s="1">
        <f>SUM(N164:N169)</f>
        <v>0</v>
      </c>
      <c r="P164" s="1">
        <v>5</v>
      </c>
      <c r="Q164" s="1">
        <f>SUM(P164:P169)</f>
        <v>5</v>
      </c>
      <c r="R164" s="1">
        <v>0</v>
      </c>
      <c r="S164" s="1">
        <f>SUM(R164:R169)</f>
        <v>0</v>
      </c>
      <c r="T164" s="6">
        <f t="shared" si="2"/>
        <v>68</v>
      </c>
      <c r="U164" s="1" t="str">
        <f>_xlfn.IFS(T164=0,"null",T164="A","absent", T164&gt;=95,"A",T164&gt;=81,"B",T164&gt;=65,"C",T164&gt;=50,"D",T164&gt;=39,"E",T164&lt;39,"F")</f>
        <v>C</v>
      </c>
    </row>
    <row r="165" spans="1:21" x14ac:dyDescent="0.35">
      <c r="B165" s="2">
        <v>3</v>
      </c>
      <c r="D165">
        <v>8</v>
      </c>
      <c r="F165" s="1">
        <v>2</v>
      </c>
      <c r="H165" s="1">
        <v>0</v>
      </c>
      <c r="J165" s="1">
        <v>0</v>
      </c>
      <c r="L165" s="1">
        <v>0</v>
      </c>
      <c r="N165" s="1">
        <v>0</v>
      </c>
      <c r="P165" s="1">
        <v>0</v>
      </c>
      <c r="R165" s="1">
        <v>0</v>
      </c>
      <c r="T165" s="6">
        <f t="shared" si="2"/>
        <v>0</v>
      </c>
      <c r="U165" s="1" t="str" cm="1">
        <f t="array" ref="U165">_xlfn.IFS(T165=0,"null",T165="A","absent", T165&gt;=89,"A",T165&gt;=77,"B",T165&gt;=65,"C",T165&gt;=53,"D",T165&gt;=41,"E",T165&lt;=40,"F")</f>
        <v>null</v>
      </c>
    </row>
    <row r="166" spans="1:21" x14ac:dyDescent="0.35">
      <c r="B166" s="2">
        <v>0</v>
      </c>
      <c r="D166">
        <v>3</v>
      </c>
      <c r="F166" s="1">
        <v>2</v>
      </c>
      <c r="H166" s="1">
        <v>0</v>
      </c>
      <c r="J166" s="1">
        <v>0</v>
      </c>
      <c r="L166" s="1">
        <v>0</v>
      </c>
      <c r="N166" s="1">
        <v>0</v>
      </c>
      <c r="P166" s="1">
        <v>0</v>
      </c>
      <c r="R166" s="1">
        <v>0</v>
      </c>
      <c r="T166" s="6">
        <f t="shared" si="2"/>
        <v>0</v>
      </c>
      <c r="U166" s="1" t="str" cm="1">
        <f t="array" ref="U166">_xlfn.IFS(T166=0,"null",T166="A","absent", T166&gt;=89,"A",T166&gt;=77,"B",T166&gt;=65,"C",T166&gt;=53,"D",T166&gt;=41,"E",T166&lt;=40,"F")</f>
        <v>null</v>
      </c>
    </row>
    <row r="167" spans="1:21" x14ac:dyDescent="0.35">
      <c r="B167" s="2">
        <v>0</v>
      </c>
      <c r="D167">
        <v>3</v>
      </c>
      <c r="F167" s="1">
        <v>2</v>
      </c>
      <c r="H167" s="1">
        <v>0</v>
      </c>
      <c r="J167" s="1">
        <v>0</v>
      </c>
      <c r="L167" s="1">
        <v>0</v>
      </c>
      <c r="N167" s="1">
        <v>0</v>
      </c>
      <c r="P167" s="1">
        <v>0</v>
      </c>
      <c r="R167" s="1">
        <v>0</v>
      </c>
      <c r="T167" s="6">
        <f t="shared" si="2"/>
        <v>0</v>
      </c>
      <c r="U167" s="1" t="str" cm="1">
        <f t="array" ref="U167">_xlfn.IFS(T167=0,"null",T167="A","absent", T167&gt;=89,"A",T167&gt;=77,"B",T167&gt;=65,"C",T167&gt;=53,"D",T167&gt;=41,"E",T167&lt;=40,"F")</f>
        <v>null</v>
      </c>
    </row>
    <row r="168" spans="1:21" x14ac:dyDescent="0.35">
      <c r="B168" s="2">
        <v>0</v>
      </c>
      <c r="D168">
        <v>2</v>
      </c>
      <c r="F168" s="1">
        <v>2</v>
      </c>
      <c r="H168" s="1">
        <v>0</v>
      </c>
      <c r="J168" s="1">
        <v>0</v>
      </c>
      <c r="L168" s="1">
        <v>0</v>
      </c>
      <c r="N168" s="1">
        <v>0</v>
      </c>
      <c r="P168" s="1">
        <v>0</v>
      </c>
      <c r="R168" s="1">
        <v>0</v>
      </c>
      <c r="T168" s="6">
        <f t="shared" si="2"/>
        <v>0</v>
      </c>
      <c r="U168" s="1" t="str" cm="1">
        <f t="array" ref="U168">_xlfn.IFS(T168=0,"null",T168="A","absent", T168&gt;=89,"A",T168&gt;=77,"B",T168&gt;=65,"C",T168&gt;=53,"D",T168&gt;=41,"E",T168&lt;=40,"F")</f>
        <v>null</v>
      </c>
    </row>
    <row r="169" spans="1:21" x14ac:dyDescent="0.35">
      <c r="B169" s="2">
        <v>0</v>
      </c>
      <c r="D169">
        <v>0</v>
      </c>
      <c r="F169" s="1">
        <v>2</v>
      </c>
      <c r="H169" s="1">
        <v>0</v>
      </c>
      <c r="J169" s="1">
        <v>0</v>
      </c>
      <c r="L169" s="1">
        <v>0</v>
      </c>
      <c r="N169" s="1">
        <v>0</v>
      </c>
      <c r="P169" s="1">
        <v>0</v>
      </c>
      <c r="R169" s="1">
        <v>0</v>
      </c>
      <c r="T169" s="6">
        <f t="shared" si="2"/>
        <v>0</v>
      </c>
      <c r="U169" s="1" t="str" cm="1">
        <f t="array" ref="U169">_xlfn.IFS(T169=0,"null",T169="A","absent", T169&gt;=89,"A",T169&gt;=77,"B",T169&gt;=65,"C",T169&gt;=53,"D",T169&gt;=41,"E",T169&lt;=40,"F")</f>
        <v>null</v>
      </c>
    </row>
    <row r="170" spans="1:21" x14ac:dyDescent="0.35">
      <c r="A170" s="3">
        <v>29</v>
      </c>
      <c r="B170" s="2">
        <v>8</v>
      </c>
      <c r="C170" s="1">
        <f>SUM(B170:B175)</f>
        <v>19</v>
      </c>
      <c r="D170">
        <v>4</v>
      </c>
      <c r="E170" s="1">
        <f>SUM(D170:D175)</f>
        <v>14</v>
      </c>
      <c r="F170" s="1">
        <v>4</v>
      </c>
      <c r="G170" s="1">
        <f>SUM(F170:F175)</f>
        <v>9</v>
      </c>
      <c r="H170" s="1">
        <v>4</v>
      </c>
      <c r="I170" s="1">
        <f>SUM(H170:H175)</f>
        <v>4</v>
      </c>
      <c r="J170" s="1">
        <v>6</v>
      </c>
      <c r="K170" s="1">
        <f>SUM(J170:J175)</f>
        <v>8</v>
      </c>
      <c r="L170" s="1">
        <v>3</v>
      </c>
      <c r="M170" s="1">
        <f>SUM(L170:L175)</f>
        <v>3</v>
      </c>
      <c r="N170" s="1">
        <v>5</v>
      </c>
      <c r="O170" s="1">
        <f>SUM(N170:N175)</f>
        <v>5</v>
      </c>
      <c r="P170" s="1">
        <v>5</v>
      </c>
      <c r="Q170" s="1">
        <f>SUM(P170:P175)</f>
        <v>5</v>
      </c>
      <c r="R170" s="1">
        <v>5</v>
      </c>
      <c r="S170" s="1">
        <f>SUM(R170:R175)</f>
        <v>5</v>
      </c>
      <c r="T170" s="6">
        <f t="shared" si="2"/>
        <v>72</v>
      </c>
      <c r="U170" s="1" t="str">
        <f>_xlfn.IFS(T170=0,"null",T170="A","absent", T170&gt;=95,"A",T170&gt;=81,"B",T170&gt;=65,"C",T170&gt;=50,"D",T170&gt;=39,"E",T170&lt;39,"F")</f>
        <v>C</v>
      </c>
    </row>
    <row r="171" spans="1:21" x14ac:dyDescent="0.35">
      <c r="B171" s="2">
        <v>3</v>
      </c>
      <c r="D171">
        <v>5</v>
      </c>
      <c r="F171" s="1">
        <v>1</v>
      </c>
      <c r="H171" s="1">
        <v>0</v>
      </c>
      <c r="J171" s="1">
        <v>2</v>
      </c>
      <c r="L171" s="1">
        <v>0</v>
      </c>
      <c r="N171" s="1">
        <v>0</v>
      </c>
      <c r="P171" s="1">
        <v>0</v>
      </c>
      <c r="R171" s="1">
        <v>0</v>
      </c>
      <c r="T171" s="6">
        <f t="shared" si="2"/>
        <v>0</v>
      </c>
      <c r="U171" s="1" t="str" cm="1">
        <f t="array" ref="U171">_xlfn.IFS(T171=0,"null",T171="A","absent", T171&gt;=89,"A",T171&gt;=77,"B",T171&gt;=65,"C",T171&gt;=53,"D",T171&gt;=41,"E",T171&lt;=40,"F")</f>
        <v>null</v>
      </c>
    </row>
    <row r="172" spans="1:21" x14ac:dyDescent="0.35">
      <c r="B172" s="2">
        <v>4</v>
      </c>
      <c r="D172">
        <v>3</v>
      </c>
      <c r="F172" s="1">
        <v>1</v>
      </c>
      <c r="H172" s="1">
        <v>0</v>
      </c>
      <c r="J172" s="1">
        <v>0</v>
      </c>
      <c r="L172" s="1">
        <v>0</v>
      </c>
      <c r="N172" s="1">
        <v>0</v>
      </c>
      <c r="P172" s="1">
        <v>0</v>
      </c>
      <c r="R172" s="1">
        <v>0</v>
      </c>
      <c r="T172" s="6">
        <f t="shared" si="2"/>
        <v>0</v>
      </c>
      <c r="U172" s="1" t="str" cm="1">
        <f t="array" ref="U172">_xlfn.IFS(T172=0,"null",T172="A","absent", T172&gt;=89,"A",T172&gt;=77,"B",T172&gt;=65,"C",T172&gt;=53,"D",T172&gt;=41,"E",T172&lt;=40,"F")</f>
        <v>null</v>
      </c>
    </row>
    <row r="173" spans="1:21" x14ac:dyDescent="0.35">
      <c r="B173" s="2">
        <v>4</v>
      </c>
      <c r="D173">
        <v>1</v>
      </c>
      <c r="F173" s="1">
        <v>1</v>
      </c>
      <c r="H173" s="1">
        <v>0</v>
      </c>
      <c r="J173" s="1">
        <v>0</v>
      </c>
      <c r="L173" s="1">
        <v>0</v>
      </c>
      <c r="N173" s="1">
        <v>0</v>
      </c>
      <c r="P173" s="1">
        <v>0</v>
      </c>
      <c r="R173" s="1">
        <v>0</v>
      </c>
      <c r="T173" s="6">
        <f t="shared" si="2"/>
        <v>0</v>
      </c>
      <c r="U173" s="1" t="str" cm="1">
        <f t="array" ref="U173">_xlfn.IFS(T173=0,"null",T173="A","absent", T173&gt;=89,"A",T173&gt;=77,"B",T173&gt;=65,"C",T173&gt;=53,"D",T173&gt;=41,"E",T173&lt;=40,"F")</f>
        <v>null</v>
      </c>
    </row>
    <row r="174" spans="1:21" x14ac:dyDescent="0.35">
      <c r="B174" s="2">
        <v>0</v>
      </c>
      <c r="D174">
        <v>1</v>
      </c>
      <c r="F174" s="1">
        <v>1</v>
      </c>
      <c r="H174" s="1">
        <v>0</v>
      </c>
      <c r="J174" s="1">
        <v>0</v>
      </c>
      <c r="L174" s="1">
        <v>0</v>
      </c>
      <c r="N174" s="1">
        <v>0</v>
      </c>
      <c r="P174" s="1">
        <v>0</v>
      </c>
      <c r="R174" s="1">
        <v>0</v>
      </c>
      <c r="T174" s="6">
        <f t="shared" si="2"/>
        <v>0</v>
      </c>
      <c r="U174" s="1" t="str" cm="1">
        <f t="array" ref="U174">_xlfn.IFS(T174=0,"null",T174="A","absent", T174&gt;=89,"A",T174&gt;=77,"B",T174&gt;=65,"C",T174&gt;=53,"D",T174&gt;=41,"E",T174&lt;=40,"F")</f>
        <v>null</v>
      </c>
    </row>
    <row r="175" spans="1:21" x14ac:dyDescent="0.35">
      <c r="B175" s="2">
        <v>0</v>
      </c>
      <c r="D175">
        <v>0</v>
      </c>
      <c r="F175" s="1">
        <v>1</v>
      </c>
      <c r="H175" s="1">
        <v>0</v>
      </c>
      <c r="J175" s="1">
        <v>0</v>
      </c>
      <c r="L175" s="1">
        <v>0</v>
      </c>
      <c r="N175" s="1">
        <v>0</v>
      </c>
      <c r="P175" s="1">
        <v>0</v>
      </c>
      <c r="R175" s="1">
        <v>0</v>
      </c>
      <c r="T175" s="6">
        <f t="shared" si="2"/>
        <v>0</v>
      </c>
      <c r="U175" s="1" t="str" cm="1">
        <f t="array" ref="U175">_xlfn.IFS(T175=0,"null",T175="A","absent", T175&gt;=89,"A",T175&gt;=77,"B",T175&gt;=65,"C",T175&gt;=53,"D",T175&gt;=41,"E",T175&lt;=40,"F")</f>
        <v>null</v>
      </c>
    </row>
    <row r="176" spans="1:21" x14ac:dyDescent="0.35">
      <c r="A176" s="3">
        <v>30</v>
      </c>
      <c r="B176" s="2">
        <v>8</v>
      </c>
      <c r="C176" s="1">
        <f>SUM(B176:B181)</f>
        <v>11</v>
      </c>
      <c r="D176">
        <v>4</v>
      </c>
      <c r="E176" s="1">
        <f>SUM(D176:D181)</f>
        <v>19</v>
      </c>
      <c r="F176" s="1">
        <v>10</v>
      </c>
      <c r="G176" s="1">
        <f>SUM(F176:F181)</f>
        <v>20</v>
      </c>
      <c r="H176" s="1">
        <v>0</v>
      </c>
      <c r="I176" s="1">
        <f>SUM(H176:H181)</f>
        <v>0</v>
      </c>
      <c r="J176" s="1">
        <v>6</v>
      </c>
      <c r="K176" s="1">
        <f>SUM(J176:J181)</f>
        <v>10</v>
      </c>
      <c r="L176" s="1">
        <v>5</v>
      </c>
      <c r="M176" s="1">
        <f>SUM(L176:L181)</f>
        <v>5</v>
      </c>
      <c r="N176" s="1">
        <v>5</v>
      </c>
      <c r="O176" s="1">
        <f>SUM(N176:N181)</f>
        <v>5</v>
      </c>
      <c r="P176" s="1">
        <v>5</v>
      </c>
      <c r="Q176" s="1">
        <f>SUM(P176:P181)</f>
        <v>5</v>
      </c>
      <c r="R176" s="1">
        <v>4</v>
      </c>
      <c r="S176" s="1">
        <f>SUM(R176:R181)</f>
        <v>4</v>
      </c>
      <c r="T176" s="6">
        <f t="shared" si="2"/>
        <v>79</v>
      </c>
      <c r="U176" s="1" t="str">
        <f>_xlfn.IFS(T176=0,"null",T176="A","absent", T176&gt;=95,"A",T176&gt;=81,"B",T176&gt;=65,"C",T176&gt;=50,"D",T176&gt;=39,"E",T176&lt;39,"F")</f>
        <v>C</v>
      </c>
    </row>
    <row r="177" spans="1:21" x14ac:dyDescent="0.35">
      <c r="B177" s="2">
        <v>3</v>
      </c>
      <c r="D177">
        <v>7</v>
      </c>
      <c r="F177" s="1">
        <v>2</v>
      </c>
      <c r="H177" s="1">
        <v>0</v>
      </c>
      <c r="J177" s="1">
        <v>4</v>
      </c>
      <c r="L177" s="1">
        <v>0</v>
      </c>
      <c r="N177" s="1">
        <v>0</v>
      </c>
      <c r="P177" s="1">
        <v>0</v>
      </c>
      <c r="R177" s="1">
        <v>0</v>
      </c>
      <c r="T177" s="6">
        <f t="shared" si="2"/>
        <v>0</v>
      </c>
      <c r="U177" s="1" t="str" cm="1">
        <f t="array" ref="U177">_xlfn.IFS(T177=0,"null",T177="A","absent", T177&gt;=89,"A",T177&gt;=77,"B",T177&gt;=65,"C",T177&gt;=53,"D",T177&gt;=41,"E",T177&lt;=40,"F")</f>
        <v>null</v>
      </c>
    </row>
    <row r="178" spans="1:21" x14ac:dyDescent="0.35">
      <c r="B178" s="2">
        <v>0</v>
      </c>
      <c r="D178">
        <v>3</v>
      </c>
      <c r="F178" s="1">
        <v>2</v>
      </c>
      <c r="H178" s="1">
        <v>0</v>
      </c>
      <c r="J178" s="1">
        <v>0</v>
      </c>
      <c r="L178" s="1">
        <v>0</v>
      </c>
      <c r="N178" s="1">
        <v>0</v>
      </c>
      <c r="P178" s="1">
        <v>0</v>
      </c>
      <c r="R178" s="1">
        <v>0</v>
      </c>
      <c r="T178" s="6">
        <f t="shared" si="2"/>
        <v>0</v>
      </c>
      <c r="U178" s="1" t="str" cm="1">
        <f t="array" ref="U178">_xlfn.IFS(T178=0,"null",T178="A","absent", T178&gt;=89,"A",T178&gt;=77,"B",T178&gt;=65,"C",T178&gt;=53,"D",T178&gt;=41,"E",T178&lt;=40,"F")</f>
        <v>null</v>
      </c>
    </row>
    <row r="179" spans="1:21" x14ac:dyDescent="0.35">
      <c r="B179" s="2">
        <v>0</v>
      </c>
      <c r="D179">
        <v>3</v>
      </c>
      <c r="F179" s="1">
        <v>2</v>
      </c>
      <c r="H179" s="1">
        <v>0</v>
      </c>
      <c r="J179" s="1">
        <v>0</v>
      </c>
      <c r="L179" s="1">
        <v>0</v>
      </c>
      <c r="N179" s="1">
        <v>0</v>
      </c>
      <c r="P179" s="1">
        <v>0</v>
      </c>
      <c r="R179" s="1">
        <v>0</v>
      </c>
      <c r="T179" s="6">
        <f t="shared" si="2"/>
        <v>0</v>
      </c>
      <c r="U179" s="1" t="str" cm="1">
        <f t="array" ref="U179">_xlfn.IFS(T179=0,"null",T179="A","absent", T179&gt;=89,"A",T179&gt;=77,"B",T179&gt;=65,"C",T179&gt;=53,"D",T179&gt;=41,"E",T179&lt;=40,"F")</f>
        <v>null</v>
      </c>
    </row>
    <row r="180" spans="1:21" x14ac:dyDescent="0.35">
      <c r="B180" s="2">
        <v>0</v>
      </c>
      <c r="D180">
        <v>2</v>
      </c>
      <c r="F180" s="1">
        <v>2</v>
      </c>
      <c r="H180" s="1">
        <v>0</v>
      </c>
      <c r="J180" s="1">
        <v>0</v>
      </c>
      <c r="L180" s="1">
        <v>0</v>
      </c>
      <c r="N180" s="1">
        <v>0</v>
      </c>
      <c r="P180" s="1">
        <v>0</v>
      </c>
      <c r="R180" s="1">
        <v>0</v>
      </c>
      <c r="T180" s="6">
        <f t="shared" si="2"/>
        <v>0</v>
      </c>
      <c r="U180" s="1" t="str" cm="1">
        <f t="array" ref="U180">_xlfn.IFS(T180=0,"null",T180="A","absent", T180&gt;=89,"A",T180&gt;=77,"B",T180&gt;=65,"C",T180&gt;=53,"D",T180&gt;=41,"E",T180&lt;=40,"F")</f>
        <v>null</v>
      </c>
    </row>
    <row r="181" spans="1:21" x14ac:dyDescent="0.35">
      <c r="B181" s="2">
        <v>0</v>
      </c>
      <c r="D181">
        <v>0</v>
      </c>
      <c r="F181" s="1">
        <v>2</v>
      </c>
      <c r="H181" s="1">
        <v>0</v>
      </c>
      <c r="J181" s="1">
        <v>0</v>
      </c>
      <c r="L181" s="1">
        <v>0</v>
      </c>
      <c r="N181" s="1">
        <v>0</v>
      </c>
      <c r="P181" s="1">
        <v>0</v>
      </c>
      <c r="R181" s="1">
        <v>0</v>
      </c>
      <c r="T181" s="6">
        <f t="shared" si="2"/>
        <v>0</v>
      </c>
      <c r="U181" s="1" t="str" cm="1">
        <f t="array" ref="U181">_xlfn.IFS(T181=0,"null",T181="A","absent", T181&gt;=89,"A",T181&gt;=77,"B",T181&gt;=65,"C",T181&gt;=53,"D",T181&gt;=41,"E",T181&lt;=40,"F")</f>
        <v>null</v>
      </c>
    </row>
    <row r="182" spans="1:21" x14ac:dyDescent="0.35">
      <c r="A182" s="3">
        <v>31</v>
      </c>
      <c r="B182" s="2">
        <v>8</v>
      </c>
      <c r="C182">
        <f>SUM(B182:B185)</f>
        <v>16</v>
      </c>
      <c r="D182">
        <v>4</v>
      </c>
      <c r="E182">
        <f>SUM(D182:D187)</f>
        <v>20</v>
      </c>
      <c r="F182" s="1">
        <v>10</v>
      </c>
      <c r="G182" s="1">
        <f>SUM(F182:F187)</f>
        <v>20</v>
      </c>
      <c r="H182" s="1">
        <v>5</v>
      </c>
      <c r="I182" s="1">
        <f>SUM(H182:H187)</f>
        <v>8</v>
      </c>
      <c r="J182" s="1">
        <v>6</v>
      </c>
      <c r="K182" s="1">
        <f>SUM(J182:J187)</f>
        <v>10</v>
      </c>
      <c r="L182" s="1">
        <v>1</v>
      </c>
      <c r="M182" s="1">
        <f>SUM(L182:L187)</f>
        <v>1</v>
      </c>
      <c r="N182" s="1">
        <v>3</v>
      </c>
      <c r="O182" s="1">
        <f>SUM(N182:N187)</f>
        <v>3</v>
      </c>
      <c r="P182" s="1">
        <v>1</v>
      </c>
      <c r="Q182" s="1">
        <f>SUM(P182:P187)</f>
        <v>1</v>
      </c>
      <c r="R182" s="1">
        <v>5</v>
      </c>
      <c r="S182" s="1">
        <f>SUM(R182:R187)</f>
        <v>5</v>
      </c>
      <c r="T182" s="6">
        <f t="shared" si="2"/>
        <v>84</v>
      </c>
      <c r="U182" s="1" t="str">
        <f>_xlfn.IFS(T182=0,"null",T182="A","absent", T182&gt;=95,"A",T182&gt;=81,"B",T182&gt;=65,"C",T182&gt;=50,"D",T182&gt;=39,"E",T182&lt;39,"F")</f>
        <v>B</v>
      </c>
    </row>
    <row r="183" spans="1:21" x14ac:dyDescent="0.35">
      <c r="A183" s="4"/>
      <c r="B183" s="2">
        <v>3</v>
      </c>
      <c r="D183">
        <v>8</v>
      </c>
      <c r="F183" s="1">
        <v>2</v>
      </c>
      <c r="H183" s="1">
        <v>3</v>
      </c>
      <c r="J183" s="1">
        <v>4</v>
      </c>
      <c r="L183" s="1">
        <v>0</v>
      </c>
      <c r="N183" s="1">
        <v>0</v>
      </c>
      <c r="P183" s="1">
        <v>0</v>
      </c>
      <c r="R183" s="1">
        <v>0</v>
      </c>
      <c r="T183" s="6">
        <f t="shared" si="2"/>
        <v>0</v>
      </c>
      <c r="U183" s="1" t="str" cm="1">
        <f t="array" ref="U183">_xlfn.IFS(T183=0,"null",T183="A","absent", T183&gt;=89,"A",T183&gt;=77,"B",T183&gt;=65,"C",T183&gt;=53,"D",T183&gt;=41,"E",T183&lt;=40,"F")</f>
        <v>null</v>
      </c>
    </row>
    <row r="184" spans="1:21" x14ac:dyDescent="0.35">
      <c r="B184" s="2">
        <v>4</v>
      </c>
      <c r="D184">
        <v>3</v>
      </c>
      <c r="F184" s="1">
        <v>2</v>
      </c>
      <c r="H184" s="1">
        <v>0</v>
      </c>
      <c r="J184" s="1">
        <v>0</v>
      </c>
      <c r="L184" s="1">
        <v>0</v>
      </c>
      <c r="N184" s="1">
        <v>0</v>
      </c>
      <c r="P184" s="1">
        <v>0</v>
      </c>
      <c r="R184" s="1">
        <v>0</v>
      </c>
      <c r="T184" s="6">
        <f t="shared" si="2"/>
        <v>0</v>
      </c>
      <c r="U184" s="1" t="str" cm="1">
        <f t="array" ref="U184">_xlfn.IFS(T184=0,"null",T184="A","absent", T184&gt;=89,"A",T184&gt;=77,"B",T184&gt;=65,"C",T184&gt;=53,"D",T184&gt;=41,"E",T184&lt;=40,"F")</f>
        <v>null</v>
      </c>
    </row>
    <row r="185" spans="1:21" x14ac:dyDescent="0.35">
      <c r="B185" s="2">
        <v>1</v>
      </c>
      <c r="D185">
        <v>3</v>
      </c>
      <c r="F185" s="1">
        <v>2</v>
      </c>
      <c r="H185" s="1">
        <v>0</v>
      </c>
      <c r="J185" s="1">
        <v>0</v>
      </c>
      <c r="L185" s="1">
        <v>0</v>
      </c>
      <c r="N185" s="1">
        <v>0</v>
      </c>
      <c r="P185" s="1">
        <v>0</v>
      </c>
      <c r="R185" s="1">
        <v>0</v>
      </c>
      <c r="T185" s="6">
        <f t="shared" si="2"/>
        <v>0</v>
      </c>
      <c r="U185" s="1" t="str" cm="1">
        <f t="array" ref="U185">_xlfn.IFS(T185=0,"null",T185="A","absent", T185&gt;=89,"A",T185&gt;=77,"B",T185&gt;=65,"C",T185&gt;=53,"D",T185&gt;=41,"E",T185&lt;=40,"F")</f>
        <v>null</v>
      </c>
    </row>
    <row r="186" spans="1:21" x14ac:dyDescent="0.35">
      <c r="B186" s="2">
        <v>0</v>
      </c>
      <c r="D186">
        <v>2</v>
      </c>
      <c r="F186" s="1">
        <v>2</v>
      </c>
      <c r="H186" s="1">
        <v>0</v>
      </c>
      <c r="J186" s="1">
        <v>0</v>
      </c>
      <c r="L186" s="1">
        <v>0</v>
      </c>
      <c r="N186" s="1">
        <v>0</v>
      </c>
      <c r="P186" s="1">
        <v>0</v>
      </c>
      <c r="R186" s="1">
        <v>0</v>
      </c>
      <c r="T186" s="6">
        <f t="shared" si="2"/>
        <v>0</v>
      </c>
      <c r="U186" s="1" t="str" cm="1">
        <f t="array" ref="U186">_xlfn.IFS(T186=0,"null",T186="A","absent", T186&gt;=89,"A",T186&gt;=77,"B",T186&gt;=65,"C",T186&gt;=53,"D",T186&gt;=41,"E",T186&lt;=40,"F")</f>
        <v>null</v>
      </c>
    </row>
    <row r="187" spans="1:21" x14ac:dyDescent="0.35">
      <c r="B187" s="2">
        <v>0</v>
      </c>
      <c r="D187">
        <v>0</v>
      </c>
      <c r="F187" s="1">
        <v>2</v>
      </c>
      <c r="H187" s="1">
        <v>0</v>
      </c>
      <c r="J187" s="1">
        <v>0</v>
      </c>
      <c r="L187" s="1">
        <v>0</v>
      </c>
      <c r="N187" s="1">
        <v>0</v>
      </c>
      <c r="P187" s="1">
        <v>0</v>
      </c>
      <c r="R187" s="1">
        <v>0</v>
      </c>
      <c r="T187" s="6">
        <f t="shared" si="2"/>
        <v>0</v>
      </c>
      <c r="U187" s="1" t="str" cm="1">
        <f t="array" ref="U187">_xlfn.IFS(T187=0,"null",T187="A","absent", T187&gt;=89,"A",T187&gt;=77,"B",T187&gt;=65,"C",T187&gt;=53,"D",T187&gt;=41,"E",T187&lt;=40,"F")</f>
        <v>null</v>
      </c>
    </row>
    <row r="188" spans="1:21" x14ac:dyDescent="0.35">
      <c r="A188" s="3">
        <v>32</v>
      </c>
      <c r="B188" s="2"/>
      <c r="C188" s="1">
        <f>SUM(B188)</f>
        <v>0</v>
      </c>
      <c r="D188">
        <v>0</v>
      </c>
      <c r="F188" s="1">
        <v>0</v>
      </c>
      <c r="H188" s="1" t="s">
        <v>23</v>
      </c>
      <c r="J188" s="1" t="s">
        <v>23</v>
      </c>
      <c r="L188" s="1" t="s">
        <v>23</v>
      </c>
      <c r="N188" s="1" t="s">
        <v>23</v>
      </c>
      <c r="P188" s="1" t="s">
        <v>23</v>
      </c>
      <c r="R188" s="1" t="s">
        <v>23</v>
      </c>
      <c r="T188" s="6" t="s">
        <v>23</v>
      </c>
      <c r="U188" s="1" t="str" cm="1">
        <f t="array" ref="U188">_xlfn.IFS(T188=0,"null",T188="A","absent", T188&gt;=89,"A",T188&gt;=77,"B",T188&gt;=65,"C",T188&gt;=53,"D",T188&gt;=41,"E",T188&lt;=40,"F")</f>
        <v>absent</v>
      </c>
    </row>
    <row r="189" spans="1:21" x14ac:dyDescent="0.35">
      <c r="A189" s="3">
        <v>33</v>
      </c>
      <c r="B189" s="2">
        <v>8</v>
      </c>
      <c r="C189" s="1">
        <f>SUM(B189:B194)</f>
        <v>16</v>
      </c>
      <c r="D189">
        <v>1</v>
      </c>
      <c r="E189" s="1">
        <f>SUM(D189:D194)</f>
        <v>4</v>
      </c>
      <c r="F189" s="1">
        <v>6</v>
      </c>
      <c r="G189" s="1">
        <f>SUM(F189:F194)</f>
        <v>10</v>
      </c>
      <c r="H189" s="1">
        <v>4</v>
      </c>
      <c r="I189" s="1">
        <f>SUM(H189:H194)</f>
        <v>6</v>
      </c>
      <c r="J189" s="1">
        <v>3</v>
      </c>
      <c r="K189" s="1">
        <f>SUM(J189:J194)</f>
        <v>3</v>
      </c>
      <c r="L189" s="1">
        <v>1</v>
      </c>
      <c r="M189" s="1">
        <f>SUM(L189:L194)</f>
        <v>1</v>
      </c>
      <c r="N189" s="1">
        <v>3</v>
      </c>
      <c r="O189" s="1">
        <f>SUM(N189:N194)</f>
        <v>3</v>
      </c>
      <c r="P189" s="1">
        <v>3</v>
      </c>
      <c r="Q189" s="1">
        <f>SUM(P189:P194)</f>
        <v>3</v>
      </c>
      <c r="R189" s="1">
        <v>0</v>
      </c>
      <c r="S189" s="1">
        <f>SUM(R189:R194)</f>
        <v>0</v>
      </c>
      <c r="T189" s="6">
        <f t="shared" si="2"/>
        <v>46</v>
      </c>
      <c r="U189" s="1" t="str">
        <f>_xlfn.IFS(T189=0,"null",T189="A","absent", T189&gt;=95,"A",T189&gt;=81,"B",T189&gt;=65,"C",T189&gt;=50,"D",T189&gt;=39,"E",T189&lt;39,"F")</f>
        <v>E</v>
      </c>
    </row>
    <row r="190" spans="1:21" x14ac:dyDescent="0.35">
      <c r="B190" s="2">
        <v>3</v>
      </c>
      <c r="D190">
        <v>3</v>
      </c>
      <c r="F190" s="1">
        <v>2</v>
      </c>
      <c r="H190" s="1">
        <v>1</v>
      </c>
      <c r="J190" s="1">
        <v>0</v>
      </c>
      <c r="L190" s="1">
        <v>0</v>
      </c>
      <c r="N190" s="1">
        <v>0</v>
      </c>
      <c r="P190" s="1">
        <v>0</v>
      </c>
      <c r="R190" s="1">
        <v>0</v>
      </c>
      <c r="T190" s="6">
        <f t="shared" si="2"/>
        <v>0</v>
      </c>
      <c r="U190" s="1" t="str" cm="1">
        <f t="array" ref="U190">_xlfn.IFS(T190=0,"null",T190="A","absent", T190&gt;=89,"A",T190&gt;=77,"B",T190&gt;=65,"C",T190&gt;=53,"D",T190&gt;=41,"E",T190&lt;=40,"F")</f>
        <v>null</v>
      </c>
    </row>
    <row r="191" spans="1:21" x14ac:dyDescent="0.35">
      <c r="B191" s="2">
        <v>4</v>
      </c>
      <c r="D191">
        <v>0</v>
      </c>
      <c r="F191" s="1">
        <v>2</v>
      </c>
      <c r="H191" s="1">
        <v>1</v>
      </c>
      <c r="J191" s="1">
        <v>0</v>
      </c>
      <c r="L191" s="1">
        <v>0</v>
      </c>
      <c r="N191" s="1">
        <v>0</v>
      </c>
      <c r="P191" s="1">
        <v>0</v>
      </c>
      <c r="R191" s="1">
        <v>0</v>
      </c>
      <c r="T191" s="6">
        <f t="shared" si="2"/>
        <v>0</v>
      </c>
      <c r="U191" s="1" t="str" cm="1">
        <f t="array" ref="U191">_xlfn.IFS(T191=0,"null",T191="A","absent", T191&gt;=89,"A",T191&gt;=77,"B",T191&gt;=65,"C",T191&gt;=53,"D",T191&gt;=41,"E",T191&lt;=40,"F")</f>
        <v>null</v>
      </c>
    </row>
    <row r="192" spans="1:21" x14ac:dyDescent="0.35">
      <c r="B192" s="2">
        <v>1</v>
      </c>
      <c r="D192">
        <v>0</v>
      </c>
      <c r="F192" s="1">
        <v>0</v>
      </c>
      <c r="H192" s="1">
        <v>0</v>
      </c>
      <c r="J192" s="1">
        <v>0</v>
      </c>
      <c r="L192" s="1">
        <v>0</v>
      </c>
      <c r="N192" s="1">
        <v>0</v>
      </c>
      <c r="P192" s="1">
        <v>0</v>
      </c>
      <c r="R192" s="1">
        <v>0</v>
      </c>
      <c r="T192" s="6">
        <f t="shared" si="2"/>
        <v>0</v>
      </c>
      <c r="U192" s="1" t="str" cm="1">
        <f t="array" ref="U192">_xlfn.IFS(T192=0,"null",T192="A","absent", T192&gt;=89,"A",T192&gt;=77,"B",T192&gt;=65,"C",T192&gt;=53,"D",T192&gt;=41,"E",T192&lt;=40,"F")</f>
        <v>null</v>
      </c>
    </row>
    <row r="193" spans="2:21" x14ac:dyDescent="0.35">
      <c r="B193" s="2">
        <v>0</v>
      </c>
      <c r="D193">
        <v>0</v>
      </c>
      <c r="F193" s="1">
        <v>0</v>
      </c>
      <c r="H193" s="1">
        <v>0</v>
      </c>
      <c r="J193" s="1">
        <v>0</v>
      </c>
      <c r="L193" s="1">
        <v>0</v>
      </c>
      <c r="N193" s="1">
        <v>0</v>
      </c>
      <c r="P193" s="1">
        <v>0</v>
      </c>
      <c r="R193" s="1">
        <v>0</v>
      </c>
      <c r="T193" s="6">
        <f t="shared" si="2"/>
        <v>0</v>
      </c>
      <c r="U193" s="1" t="str" cm="1">
        <f t="array" ref="U193">_xlfn.IFS(T193=0,"null",T193="A","absent", T193&gt;=89,"A",T193&gt;=77,"B",T193&gt;=65,"C",T193&gt;=53,"D",T193&gt;=41,"E",T193&lt;=40,"F")</f>
        <v>null</v>
      </c>
    </row>
    <row r="194" spans="2:21" x14ac:dyDescent="0.35">
      <c r="B194" s="2">
        <v>0</v>
      </c>
      <c r="D194">
        <v>0</v>
      </c>
      <c r="F194" s="1">
        <v>0</v>
      </c>
      <c r="H194" s="1">
        <v>0</v>
      </c>
      <c r="J194" s="1">
        <v>0</v>
      </c>
      <c r="L194" s="1">
        <v>0</v>
      </c>
      <c r="N194" s="1">
        <v>0</v>
      </c>
      <c r="P194" s="1">
        <v>0</v>
      </c>
      <c r="R194" s="1">
        <v>0</v>
      </c>
      <c r="T194" s="6">
        <f t="shared" si="2"/>
        <v>0</v>
      </c>
      <c r="U194" s="1" t="str" cm="1">
        <f t="array" ref="U194">_xlfn.IFS(T194=0,"null",T194="A","absent", T194&gt;=89,"A",T194&gt;=77,"B",T194&gt;=65,"C",T194&gt;=53,"D",T194&gt;=41,"E",T194&lt;=40,"F")</f>
        <v>null</v>
      </c>
    </row>
  </sheetData>
  <conditionalFormatting sqref="U2:U19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9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1">
      <colorScale>
        <cfvo type="num" val="40"/>
        <cfvo type="percentile" val="50"/>
        <cfvo type="num" val="89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8B9-8DEF-48D3-830E-28EB89A5CB80}">
  <sheetPr filterMode="1"/>
  <dimension ref="A1:K20"/>
  <sheetViews>
    <sheetView workbookViewId="0">
      <selection activeCell="G28" sqref="G28"/>
    </sheetView>
  </sheetViews>
  <sheetFormatPr defaultRowHeight="14.5" x14ac:dyDescent="0.35"/>
  <sheetData>
    <row r="1" spans="1:11" x14ac:dyDescent="0.35">
      <c r="A1" s="11"/>
      <c r="B1" s="11" t="s">
        <v>7</v>
      </c>
      <c r="C1" s="11" t="s">
        <v>8</v>
      </c>
      <c r="D1" s="11" t="s">
        <v>11</v>
      </c>
      <c r="E1" s="11" t="s">
        <v>13</v>
      </c>
      <c r="F1" s="11" t="s">
        <v>14</v>
      </c>
      <c r="G1" s="11" t="s">
        <v>16</v>
      </c>
      <c r="H1" s="11" t="s">
        <v>18</v>
      </c>
      <c r="I1" s="11" t="s">
        <v>17</v>
      </c>
      <c r="J1" s="11" t="s">
        <v>19</v>
      </c>
      <c r="K1" s="11" t="s">
        <v>5</v>
      </c>
    </row>
    <row r="2" spans="1:11" hidden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idden="1" x14ac:dyDescent="0.35">
      <c r="A3" s="9" t="s">
        <v>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</row>
    <row r="4" spans="1:11" hidden="1" x14ac:dyDescent="0.35">
      <c r="A4" s="9" t="s">
        <v>9</v>
      </c>
      <c r="B4" s="9">
        <v>0.23089142359986356</v>
      </c>
      <c r="C4" s="9"/>
      <c r="D4" s="9"/>
      <c r="E4" s="9"/>
      <c r="F4" s="9"/>
      <c r="G4" s="9"/>
      <c r="H4" s="9"/>
      <c r="I4" s="9"/>
      <c r="J4" s="9"/>
      <c r="K4" s="9"/>
    </row>
    <row r="5" spans="1:11" hidden="1" x14ac:dyDescent="0.35">
      <c r="A5" s="9" t="s">
        <v>8</v>
      </c>
      <c r="B5" s="9">
        <v>0.52062354194628857</v>
      </c>
      <c r="C5" s="9">
        <v>1</v>
      </c>
      <c r="D5" s="9"/>
      <c r="E5" s="9"/>
      <c r="F5" s="9"/>
      <c r="G5" s="9"/>
      <c r="H5" s="9"/>
      <c r="I5" s="9"/>
      <c r="J5" s="9"/>
      <c r="K5" s="9"/>
    </row>
    <row r="6" spans="1:11" hidden="1" x14ac:dyDescent="0.35">
      <c r="A6" s="9" t="s">
        <v>10</v>
      </c>
      <c r="B6" s="9">
        <v>6.5666301207191899E-2</v>
      </c>
      <c r="C6" s="9">
        <v>0.43596013588902371</v>
      </c>
      <c r="D6" s="9"/>
      <c r="E6" s="9"/>
      <c r="F6" s="9"/>
      <c r="G6" s="9"/>
      <c r="H6" s="9"/>
      <c r="I6" s="9"/>
      <c r="J6" s="9"/>
      <c r="K6" s="9"/>
    </row>
    <row r="7" spans="1:11" hidden="1" x14ac:dyDescent="0.35">
      <c r="A7" s="9" t="s">
        <v>11</v>
      </c>
      <c r="B7" s="9">
        <v>0.11812775585458102</v>
      </c>
      <c r="C7" s="9">
        <v>0.53897448143944771</v>
      </c>
      <c r="D7" s="9">
        <v>1</v>
      </c>
      <c r="E7" s="9"/>
      <c r="F7" s="9"/>
      <c r="G7" s="9"/>
      <c r="H7" s="9"/>
      <c r="I7" s="9"/>
      <c r="J7" s="9"/>
      <c r="K7" s="9"/>
    </row>
    <row r="8" spans="1:11" hidden="1" x14ac:dyDescent="0.35">
      <c r="A8" s="9" t="s">
        <v>12</v>
      </c>
      <c r="B8" s="9">
        <v>0.31808331905448073</v>
      </c>
      <c r="C8" s="9">
        <v>0.25102302284356665</v>
      </c>
      <c r="D8" s="9">
        <v>0.24210362817716863</v>
      </c>
      <c r="E8" s="9"/>
      <c r="F8" s="9"/>
      <c r="G8" s="9"/>
      <c r="H8" s="9"/>
      <c r="I8" s="9"/>
      <c r="J8" s="9"/>
      <c r="K8" s="9"/>
    </row>
    <row r="9" spans="1:11" hidden="1" x14ac:dyDescent="0.35">
      <c r="A9" s="9" t="s">
        <v>13</v>
      </c>
      <c r="B9" s="9">
        <v>0.28324683768377046</v>
      </c>
      <c r="C9" s="9">
        <v>0.1891109863032934</v>
      </c>
      <c r="D9" s="9">
        <v>0.25648472390637339</v>
      </c>
      <c r="E9" s="9">
        <v>1</v>
      </c>
      <c r="F9" s="9"/>
      <c r="G9" s="9"/>
      <c r="H9" s="9"/>
      <c r="I9" s="9"/>
      <c r="J9" s="9"/>
      <c r="K9" s="9"/>
    </row>
    <row r="10" spans="1:11" hidden="1" x14ac:dyDescent="0.35">
      <c r="A10" s="9" t="s">
        <v>15</v>
      </c>
      <c r="B10" s="9">
        <v>0.32916897834144099</v>
      </c>
      <c r="C10" s="9">
        <v>0.55601679035554963</v>
      </c>
      <c r="D10" s="9">
        <v>0.67576578541959631</v>
      </c>
      <c r="E10" s="9">
        <v>0.16028271048286249</v>
      </c>
      <c r="F10" s="9"/>
      <c r="G10" s="9"/>
      <c r="H10" s="9"/>
      <c r="I10" s="9"/>
      <c r="J10" s="9"/>
      <c r="K10" s="9"/>
    </row>
    <row r="11" spans="1:11" hidden="1" x14ac:dyDescent="0.35">
      <c r="A11" s="9" t="s">
        <v>14</v>
      </c>
      <c r="B11" s="9">
        <v>0.32843221836521314</v>
      </c>
      <c r="C11" s="9">
        <v>0.60509668747690737</v>
      </c>
      <c r="D11" s="9">
        <v>0.70457700138267076</v>
      </c>
      <c r="E11" s="9">
        <v>0.14441984127197224</v>
      </c>
      <c r="F11" s="9">
        <v>1</v>
      </c>
      <c r="G11" s="9"/>
      <c r="H11" s="9"/>
      <c r="I11" s="9"/>
      <c r="J11" s="9"/>
      <c r="K11" s="9"/>
    </row>
    <row r="12" spans="1:11" hidden="1" x14ac:dyDescent="0.35">
      <c r="A12" s="9" t="s">
        <v>20</v>
      </c>
      <c r="B12" s="9">
        <v>0.33553643488760249</v>
      </c>
      <c r="C12" s="9">
        <v>0.60972574926209844</v>
      </c>
      <c r="D12" s="9">
        <v>0.67729470508151124</v>
      </c>
      <c r="E12" s="9">
        <v>0.11068086421545084</v>
      </c>
      <c r="F12" s="9">
        <v>0.66666802707623152</v>
      </c>
      <c r="G12" s="9"/>
      <c r="H12" s="9"/>
      <c r="I12" s="9"/>
      <c r="J12" s="9"/>
      <c r="K12" s="9"/>
    </row>
    <row r="13" spans="1:11" hidden="1" x14ac:dyDescent="0.35">
      <c r="A13" s="9" t="s">
        <v>16</v>
      </c>
      <c r="B13" s="9">
        <v>0.33553643488760249</v>
      </c>
      <c r="C13" s="9">
        <v>0.60972574926209844</v>
      </c>
      <c r="D13" s="9">
        <v>0.67729470508151124</v>
      </c>
      <c r="E13" s="9">
        <v>0.11068086421545084</v>
      </c>
      <c r="F13" s="9">
        <v>0.66666802707623152</v>
      </c>
      <c r="G13" s="9">
        <v>1</v>
      </c>
      <c r="H13" s="9"/>
      <c r="I13" s="9"/>
      <c r="J13" s="9"/>
      <c r="K13" s="9"/>
    </row>
    <row r="14" spans="1:11" hidden="1" x14ac:dyDescent="0.35">
      <c r="A14" s="9" t="s">
        <v>2</v>
      </c>
      <c r="B14" s="9">
        <v>0.40065851165697303</v>
      </c>
      <c r="C14" s="9">
        <v>0.44011861618262876</v>
      </c>
      <c r="D14" s="9">
        <v>0.44852849566215797</v>
      </c>
      <c r="E14" s="9">
        <v>0.19656505198315996</v>
      </c>
      <c r="F14" s="9">
        <v>0.43259381425643956</v>
      </c>
      <c r="G14" s="9">
        <v>0.58991632174072894</v>
      </c>
      <c r="H14" s="9"/>
      <c r="I14" s="9"/>
      <c r="J14" s="9"/>
      <c r="K14" s="9"/>
    </row>
    <row r="15" spans="1:11" hidden="1" x14ac:dyDescent="0.35">
      <c r="A15" s="9" t="s">
        <v>18</v>
      </c>
      <c r="B15" s="9">
        <v>0.4197122605432585</v>
      </c>
      <c r="C15" s="9">
        <v>0.45611238453452607</v>
      </c>
      <c r="D15" s="9">
        <v>0.45687115238806802</v>
      </c>
      <c r="E15" s="9">
        <v>0.18147791952713668</v>
      </c>
      <c r="F15" s="9">
        <v>0.44400014111142155</v>
      </c>
      <c r="G15" s="9">
        <v>0.60164590045087951</v>
      </c>
      <c r="H15" s="9">
        <v>1</v>
      </c>
      <c r="I15" s="9"/>
      <c r="J15" s="9"/>
      <c r="K15" s="9"/>
    </row>
    <row r="16" spans="1:11" hidden="1" x14ac:dyDescent="0.35">
      <c r="A16" s="9" t="s">
        <v>3</v>
      </c>
      <c r="B16" s="9">
        <v>5.868339530462427E-2</v>
      </c>
      <c r="C16" s="9">
        <v>0.30497204505607028</v>
      </c>
      <c r="D16" s="9">
        <v>0.3826685547866468</v>
      </c>
      <c r="E16" s="9">
        <v>-6.2992331666950188E-2</v>
      </c>
      <c r="F16" s="9">
        <v>0.42836358092537608</v>
      </c>
      <c r="G16" s="9">
        <v>0.58965389284519987</v>
      </c>
      <c r="H16" s="9">
        <v>0.30714152817110207</v>
      </c>
      <c r="I16" s="9"/>
      <c r="J16" s="9"/>
      <c r="K16" s="9"/>
    </row>
    <row r="17" spans="1:11" hidden="1" x14ac:dyDescent="0.35">
      <c r="A17" s="9" t="s">
        <v>17</v>
      </c>
      <c r="B17" s="9">
        <v>5.868339530462427E-2</v>
      </c>
      <c r="C17" s="9">
        <v>0.30497204505607028</v>
      </c>
      <c r="D17" s="9">
        <v>0.3826685547866468</v>
      </c>
      <c r="E17" s="9">
        <v>-6.2992331666950188E-2</v>
      </c>
      <c r="F17" s="9">
        <v>0.42836358092537608</v>
      </c>
      <c r="G17" s="9">
        <v>0.58965389284519987</v>
      </c>
      <c r="H17" s="9">
        <v>0.30714152817110207</v>
      </c>
      <c r="I17" s="9">
        <v>1</v>
      </c>
      <c r="J17" s="9"/>
      <c r="K17" s="9"/>
    </row>
    <row r="18" spans="1:11" hidden="1" x14ac:dyDescent="0.35">
      <c r="A18" s="9" t="s">
        <v>4</v>
      </c>
      <c r="B18" s="9">
        <v>0.1364059007909838</v>
      </c>
      <c r="C18" s="9">
        <v>0.14255198554343182</v>
      </c>
      <c r="D18" s="9">
        <v>3.2717462586750769E-2</v>
      </c>
      <c r="E18" s="9">
        <v>0.24345322188014099</v>
      </c>
      <c r="F18" s="9">
        <v>8.1874904913661506E-2</v>
      </c>
      <c r="G18" s="9">
        <v>2.5420785538689726E-2</v>
      </c>
      <c r="H18" s="9">
        <v>0.24163830992930244</v>
      </c>
      <c r="I18" s="9">
        <v>0.17038025389521114</v>
      </c>
      <c r="J18" s="9"/>
      <c r="K18" s="9"/>
    </row>
    <row r="19" spans="1:11" hidden="1" x14ac:dyDescent="0.35">
      <c r="A19" s="9" t="s">
        <v>19</v>
      </c>
      <c r="B19" s="9">
        <v>0.1364059007909838</v>
      </c>
      <c r="C19" s="9">
        <v>0.14255198554343182</v>
      </c>
      <c r="D19" s="9">
        <v>3.2717462586750769E-2</v>
      </c>
      <c r="E19" s="9">
        <v>0.24345322188014099</v>
      </c>
      <c r="F19" s="9">
        <v>8.1874904913661506E-2</v>
      </c>
      <c r="G19" s="9">
        <v>2.5420785538689726E-2</v>
      </c>
      <c r="H19" s="9">
        <v>0.24163830992930244</v>
      </c>
      <c r="I19" s="9">
        <v>0.17038025389521114</v>
      </c>
      <c r="J19" s="9">
        <v>1</v>
      </c>
      <c r="K19" s="9"/>
    </row>
    <row r="20" spans="1:11" ht="15" thickBot="1" x14ac:dyDescent="0.4">
      <c r="A20" s="10" t="s">
        <v>5</v>
      </c>
      <c r="B20" s="10">
        <v>0.60308120805367937</v>
      </c>
      <c r="C20" s="10">
        <v>0.8322393100035701</v>
      </c>
      <c r="D20" s="10">
        <v>0.7739769947752756</v>
      </c>
      <c r="E20" s="10">
        <v>0.41719910491954626</v>
      </c>
      <c r="F20" s="10">
        <v>0.79713057632880202</v>
      </c>
      <c r="G20" s="10">
        <v>0.77739417598186911</v>
      </c>
      <c r="H20" s="10">
        <v>0.65975986862386626</v>
      </c>
      <c r="I20" s="10">
        <v>0.45235965282557056</v>
      </c>
      <c r="J20" s="10">
        <v>0.269792018826083</v>
      </c>
      <c r="K20" s="10">
        <v>1</v>
      </c>
    </row>
  </sheetData>
  <autoFilter ref="A1:K20" xr:uid="{B981BE7E-246D-4F0C-8876-AB53822AA8EC}">
    <filterColumn colId="0">
      <filters>
        <filter val="TO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87C3-16E9-415B-899D-A75187130401}">
  <dimension ref="A1:U33"/>
  <sheetViews>
    <sheetView workbookViewId="0">
      <selection activeCell="R14" sqref="R1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7</v>
      </c>
      <c r="D1" t="s">
        <v>9</v>
      </c>
      <c r="E1" t="s">
        <v>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14</v>
      </c>
      <c r="L1" s="1" t="s">
        <v>20</v>
      </c>
      <c r="M1" s="1" t="s">
        <v>16</v>
      </c>
      <c r="N1" s="1" t="s">
        <v>2</v>
      </c>
      <c r="O1" s="1" t="s">
        <v>18</v>
      </c>
      <c r="P1" s="1" t="s">
        <v>3</v>
      </c>
      <c r="Q1" s="1" t="s">
        <v>17</v>
      </c>
      <c r="R1" s="1" t="s">
        <v>4</v>
      </c>
      <c r="S1" s="1" t="s">
        <v>19</v>
      </c>
      <c r="T1" s="6" t="s">
        <v>5</v>
      </c>
      <c r="U1" s="1" t="s">
        <v>6</v>
      </c>
    </row>
    <row r="2" spans="1:21" x14ac:dyDescent="0.35">
      <c r="A2" s="3">
        <v>1</v>
      </c>
      <c r="B2" s="2">
        <v>0</v>
      </c>
      <c r="C2" s="1">
        <v>0</v>
      </c>
      <c r="D2">
        <v>4</v>
      </c>
      <c r="E2" s="1">
        <v>6</v>
      </c>
      <c r="F2" s="1">
        <v>10</v>
      </c>
      <c r="G2" s="1">
        <v>18</v>
      </c>
      <c r="H2" s="1">
        <v>0</v>
      </c>
      <c r="I2" s="1">
        <v>0</v>
      </c>
      <c r="J2" s="1">
        <v>6</v>
      </c>
      <c r="K2" s="1">
        <v>6</v>
      </c>
      <c r="L2" s="1">
        <v>0</v>
      </c>
      <c r="M2" s="1">
        <v>0</v>
      </c>
      <c r="N2" s="1">
        <v>0</v>
      </c>
      <c r="O2" s="1">
        <v>0</v>
      </c>
      <c r="P2" s="1">
        <v>5</v>
      </c>
      <c r="Q2" s="1">
        <v>5</v>
      </c>
      <c r="R2" s="1">
        <v>1</v>
      </c>
      <c r="S2" s="1">
        <v>1</v>
      </c>
      <c r="T2" s="6">
        <v>36</v>
      </c>
      <c r="U2" s="1" t="s">
        <v>28</v>
      </c>
    </row>
    <row r="3" spans="1:21" x14ac:dyDescent="0.35">
      <c r="A3" s="3">
        <v>2</v>
      </c>
      <c r="B3" s="2">
        <v>8</v>
      </c>
      <c r="C3" s="1">
        <v>20</v>
      </c>
      <c r="D3">
        <v>4</v>
      </c>
      <c r="E3" s="1">
        <v>20</v>
      </c>
      <c r="F3" s="1">
        <v>10</v>
      </c>
      <c r="G3" s="1">
        <v>20</v>
      </c>
      <c r="H3" s="1">
        <v>0</v>
      </c>
      <c r="I3" s="1">
        <v>0</v>
      </c>
      <c r="J3" s="1">
        <v>6</v>
      </c>
      <c r="K3" s="1">
        <v>10</v>
      </c>
      <c r="L3" s="1">
        <v>5</v>
      </c>
      <c r="M3" s="1">
        <v>5</v>
      </c>
      <c r="N3" s="1">
        <v>3</v>
      </c>
      <c r="O3" s="1">
        <v>4</v>
      </c>
      <c r="P3" s="1">
        <v>5</v>
      </c>
      <c r="Q3" s="1">
        <v>5</v>
      </c>
      <c r="R3" s="1">
        <v>5</v>
      </c>
      <c r="S3" s="1">
        <v>5</v>
      </c>
      <c r="T3" s="6">
        <v>89</v>
      </c>
      <c r="U3" s="1" t="s">
        <v>24</v>
      </c>
    </row>
    <row r="4" spans="1:21" x14ac:dyDescent="0.35">
      <c r="A4" s="3">
        <v>3</v>
      </c>
      <c r="B4" s="2">
        <v>4</v>
      </c>
      <c r="C4" s="1">
        <v>14</v>
      </c>
      <c r="D4">
        <v>4</v>
      </c>
      <c r="E4" s="1">
        <v>15</v>
      </c>
      <c r="F4" s="1">
        <v>10</v>
      </c>
      <c r="G4" s="1">
        <v>20</v>
      </c>
      <c r="H4" s="1">
        <v>4</v>
      </c>
      <c r="I4" s="1">
        <v>4</v>
      </c>
      <c r="J4" s="1">
        <v>3</v>
      </c>
      <c r="K4" s="1">
        <v>7</v>
      </c>
      <c r="L4" s="1">
        <v>3</v>
      </c>
      <c r="M4" s="1">
        <v>3</v>
      </c>
      <c r="N4" s="1">
        <v>5</v>
      </c>
      <c r="O4" s="1">
        <v>5</v>
      </c>
      <c r="P4" s="1">
        <v>5</v>
      </c>
      <c r="Q4" s="1">
        <v>5</v>
      </c>
      <c r="R4" s="1">
        <v>4</v>
      </c>
      <c r="S4" s="1">
        <v>4</v>
      </c>
      <c r="T4" s="6">
        <v>77</v>
      </c>
      <c r="U4" s="1" t="s">
        <v>25</v>
      </c>
    </row>
    <row r="5" spans="1:21" x14ac:dyDescent="0.35">
      <c r="A5" s="3">
        <v>4</v>
      </c>
      <c r="B5" s="2">
        <v>2</v>
      </c>
      <c r="C5" s="1">
        <v>4</v>
      </c>
      <c r="D5">
        <v>3</v>
      </c>
      <c r="E5" s="1">
        <v>6</v>
      </c>
      <c r="F5" s="1">
        <v>9</v>
      </c>
      <c r="G5" s="1">
        <v>17</v>
      </c>
      <c r="H5" s="1">
        <v>0</v>
      </c>
      <c r="I5" s="1">
        <v>0</v>
      </c>
      <c r="J5" s="1">
        <v>6</v>
      </c>
      <c r="K5" s="1">
        <v>10</v>
      </c>
      <c r="L5" s="1">
        <v>1</v>
      </c>
      <c r="M5" s="1">
        <v>1</v>
      </c>
      <c r="N5" s="1">
        <v>0</v>
      </c>
      <c r="O5" s="1">
        <v>0</v>
      </c>
      <c r="P5" s="1">
        <v>5</v>
      </c>
      <c r="Q5" s="1">
        <v>5</v>
      </c>
      <c r="R5" s="1">
        <v>4</v>
      </c>
      <c r="S5" s="1">
        <v>4</v>
      </c>
      <c r="T5" s="6">
        <v>47</v>
      </c>
      <c r="U5" s="1" t="s">
        <v>27</v>
      </c>
    </row>
    <row r="6" spans="1:21" x14ac:dyDescent="0.35">
      <c r="A6" s="3">
        <v>5</v>
      </c>
      <c r="B6" s="2">
        <v>8</v>
      </c>
      <c r="C6" s="1">
        <v>17</v>
      </c>
      <c r="D6">
        <v>4</v>
      </c>
      <c r="E6" s="1">
        <v>20</v>
      </c>
      <c r="F6" s="1">
        <v>10</v>
      </c>
      <c r="G6" s="1">
        <v>20</v>
      </c>
      <c r="H6" s="1">
        <v>5</v>
      </c>
      <c r="I6" s="1">
        <v>8</v>
      </c>
      <c r="J6" s="1">
        <v>6</v>
      </c>
      <c r="K6" s="1">
        <v>10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6">
        <v>95</v>
      </c>
      <c r="U6" s="1" t="s">
        <v>23</v>
      </c>
    </row>
    <row r="7" spans="1:21" x14ac:dyDescent="0.35">
      <c r="A7" s="3">
        <v>6</v>
      </c>
      <c r="B7" s="2">
        <v>8</v>
      </c>
      <c r="C7" s="1">
        <v>17</v>
      </c>
      <c r="D7">
        <v>4</v>
      </c>
      <c r="E7" s="1">
        <v>11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5</v>
      </c>
      <c r="Q7" s="1">
        <v>5</v>
      </c>
      <c r="R7" s="1">
        <v>5</v>
      </c>
      <c r="S7" s="1">
        <v>5</v>
      </c>
      <c r="T7" s="6">
        <v>39</v>
      </c>
      <c r="U7" s="1" t="s">
        <v>27</v>
      </c>
    </row>
    <row r="8" spans="1:21" x14ac:dyDescent="0.35">
      <c r="A8" s="3">
        <v>7</v>
      </c>
      <c r="B8" s="2">
        <v>8</v>
      </c>
      <c r="C8" s="1">
        <v>11</v>
      </c>
      <c r="D8">
        <v>4</v>
      </c>
      <c r="E8" s="1">
        <v>9</v>
      </c>
      <c r="F8" s="1">
        <v>10</v>
      </c>
      <c r="G8" s="1">
        <v>20</v>
      </c>
      <c r="H8" s="1">
        <v>0</v>
      </c>
      <c r="I8" s="1">
        <v>0</v>
      </c>
      <c r="J8" s="1">
        <v>6</v>
      </c>
      <c r="K8" s="1">
        <v>10</v>
      </c>
      <c r="L8" s="1">
        <v>5</v>
      </c>
      <c r="M8" s="1">
        <v>5</v>
      </c>
      <c r="N8" s="1">
        <v>3</v>
      </c>
      <c r="O8" s="1">
        <v>3</v>
      </c>
      <c r="P8" s="1">
        <v>5</v>
      </c>
      <c r="Q8" s="1">
        <v>5</v>
      </c>
      <c r="R8" s="1">
        <v>5</v>
      </c>
      <c r="S8" s="1">
        <v>5</v>
      </c>
      <c r="T8" s="6">
        <v>68</v>
      </c>
      <c r="U8" s="1" t="s">
        <v>25</v>
      </c>
    </row>
    <row r="9" spans="1:21" x14ac:dyDescent="0.35">
      <c r="A9" s="3">
        <v>8</v>
      </c>
      <c r="B9" s="2">
        <v>8</v>
      </c>
      <c r="C9" s="1">
        <v>15</v>
      </c>
      <c r="D9">
        <v>4</v>
      </c>
      <c r="E9" s="1">
        <v>17</v>
      </c>
      <c r="F9" s="1">
        <v>10</v>
      </c>
      <c r="G9" s="1">
        <v>20</v>
      </c>
      <c r="H9" s="1">
        <v>4</v>
      </c>
      <c r="I9" s="1">
        <v>4</v>
      </c>
      <c r="J9" s="1">
        <v>2</v>
      </c>
      <c r="K9" s="1">
        <v>2</v>
      </c>
      <c r="L9" s="1">
        <v>1</v>
      </c>
      <c r="M9" s="1">
        <v>1</v>
      </c>
      <c r="N9" s="1">
        <v>3</v>
      </c>
      <c r="O9" s="1">
        <v>3</v>
      </c>
      <c r="P9" s="1">
        <v>2</v>
      </c>
      <c r="Q9" s="1">
        <v>2</v>
      </c>
      <c r="R9" s="1">
        <v>3</v>
      </c>
      <c r="S9" s="1">
        <v>3</v>
      </c>
      <c r="T9" s="6">
        <v>67</v>
      </c>
      <c r="U9" s="1" t="s">
        <v>25</v>
      </c>
    </row>
    <row r="10" spans="1:21" x14ac:dyDescent="0.35">
      <c r="A10" s="3">
        <v>9</v>
      </c>
      <c r="B10" s="2">
        <v>8</v>
      </c>
      <c r="C10" s="1">
        <v>8</v>
      </c>
      <c r="D10">
        <v>4</v>
      </c>
      <c r="E10" s="1">
        <v>10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3</v>
      </c>
      <c r="O10" s="1">
        <v>3</v>
      </c>
      <c r="P10" s="1">
        <v>5</v>
      </c>
      <c r="Q10" s="1">
        <v>5</v>
      </c>
      <c r="R10" s="1">
        <v>5</v>
      </c>
      <c r="S10" s="1">
        <v>5</v>
      </c>
      <c r="T10" s="6">
        <v>32</v>
      </c>
      <c r="U10" s="1" t="s">
        <v>28</v>
      </c>
    </row>
    <row r="11" spans="1:21" x14ac:dyDescent="0.35">
      <c r="A11" s="3">
        <v>10</v>
      </c>
      <c r="B11" s="2">
        <v>8</v>
      </c>
      <c r="C11" s="1">
        <v>11</v>
      </c>
      <c r="D11">
        <v>2</v>
      </c>
      <c r="E11" s="1">
        <v>7</v>
      </c>
      <c r="F11" s="1">
        <v>10</v>
      </c>
      <c r="G11" s="1">
        <v>14</v>
      </c>
      <c r="H11" s="1">
        <v>0</v>
      </c>
      <c r="I11" s="1">
        <v>0</v>
      </c>
      <c r="J11" s="1">
        <v>1</v>
      </c>
      <c r="K11" s="1">
        <v>1</v>
      </c>
      <c r="L11" s="1">
        <v>2</v>
      </c>
      <c r="M11" s="1">
        <v>2</v>
      </c>
      <c r="N11" s="1">
        <v>3</v>
      </c>
      <c r="O11" s="1">
        <v>3</v>
      </c>
      <c r="P11" s="1">
        <v>5</v>
      </c>
      <c r="Q11" s="1">
        <v>5</v>
      </c>
      <c r="R11" s="1">
        <v>5</v>
      </c>
      <c r="S11" s="1">
        <v>5</v>
      </c>
      <c r="T11" s="6">
        <v>48</v>
      </c>
      <c r="U11" s="1" t="s">
        <v>27</v>
      </c>
    </row>
    <row r="12" spans="1:21" x14ac:dyDescent="0.35">
      <c r="A12" s="3">
        <v>11</v>
      </c>
      <c r="B12" s="2">
        <v>8</v>
      </c>
      <c r="C12" s="1">
        <v>11</v>
      </c>
      <c r="D12">
        <v>4</v>
      </c>
      <c r="E12" s="1">
        <v>20</v>
      </c>
      <c r="F12" s="1">
        <v>10</v>
      </c>
      <c r="G12" s="1">
        <v>20</v>
      </c>
      <c r="H12" s="1">
        <v>5</v>
      </c>
      <c r="I12" s="1">
        <v>8</v>
      </c>
      <c r="J12" s="1">
        <v>6</v>
      </c>
      <c r="K12" s="1">
        <v>10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2</v>
      </c>
      <c r="S12" s="1">
        <v>2</v>
      </c>
      <c r="T12" s="6">
        <v>86</v>
      </c>
      <c r="U12" s="1" t="s">
        <v>24</v>
      </c>
    </row>
    <row r="13" spans="1:21" x14ac:dyDescent="0.35">
      <c r="A13" s="3">
        <v>12</v>
      </c>
      <c r="B13" s="2">
        <v>8</v>
      </c>
      <c r="C13" s="1">
        <v>20</v>
      </c>
      <c r="D13">
        <v>4</v>
      </c>
      <c r="E13" s="1">
        <v>20</v>
      </c>
      <c r="F13" s="1">
        <v>10</v>
      </c>
      <c r="G13" s="1">
        <v>20</v>
      </c>
      <c r="H13" s="1">
        <v>4</v>
      </c>
      <c r="I13" s="1">
        <v>4</v>
      </c>
      <c r="J13" s="1">
        <v>6</v>
      </c>
      <c r="K13" s="1">
        <v>10</v>
      </c>
      <c r="L13" s="1">
        <v>5</v>
      </c>
      <c r="M13" s="1">
        <v>5</v>
      </c>
      <c r="N13" s="1">
        <v>3</v>
      </c>
      <c r="O13" s="1">
        <v>3</v>
      </c>
      <c r="P13" s="1">
        <v>5</v>
      </c>
      <c r="Q13" s="1">
        <v>5</v>
      </c>
      <c r="R13" s="1">
        <v>0</v>
      </c>
      <c r="S13" s="1">
        <v>0</v>
      </c>
      <c r="T13" s="6">
        <v>87</v>
      </c>
      <c r="U13" s="1" t="s">
        <v>24</v>
      </c>
    </row>
    <row r="14" spans="1:21" x14ac:dyDescent="0.35">
      <c r="A14" s="3">
        <v>13</v>
      </c>
      <c r="B14" s="2">
        <v>8</v>
      </c>
      <c r="C14" s="1">
        <v>20</v>
      </c>
      <c r="D14">
        <v>4</v>
      </c>
      <c r="E14" s="1">
        <v>20</v>
      </c>
      <c r="F14" s="1">
        <v>10</v>
      </c>
      <c r="G14" s="1">
        <v>20</v>
      </c>
      <c r="H14" s="1">
        <v>0</v>
      </c>
      <c r="I14" s="1">
        <v>0</v>
      </c>
      <c r="J14" s="1">
        <v>6</v>
      </c>
      <c r="K14" s="1">
        <v>10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0</v>
      </c>
      <c r="S14" s="1">
        <v>0</v>
      </c>
      <c r="T14" s="6">
        <v>85</v>
      </c>
      <c r="U14" s="1" t="s">
        <v>24</v>
      </c>
    </row>
    <row r="15" spans="1:21" x14ac:dyDescent="0.35">
      <c r="A15" s="3">
        <v>14</v>
      </c>
      <c r="B15" s="2">
        <v>5</v>
      </c>
      <c r="C15" s="1">
        <v>8</v>
      </c>
      <c r="D15">
        <v>0</v>
      </c>
      <c r="E15" s="1">
        <v>0</v>
      </c>
      <c r="F15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6">
        <v>8</v>
      </c>
      <c r="U15" s="1" t="s">
        <v>28</v>
      </c>
    </row>
    <row r="16" spans="1:21" x14ac:dyDescent="0.35">
      <c r="A16" s="3">
        <v>15</v>
      </c>
      <c r="B16" s="2">
        <v>8</v>
      </c>
      <c r="C16" s="1">
        <v>19</v>
      </c>
      <c r="D16">
        <v>3</v>
      </c>
      <c r="E16" s="1">
        <v>11</v>
      </c>
      <c r="F16" s="1">
        <v>6</v>
      </c>
      <c r="G16" s="1">
        <v>8</v>
      </c>
      <c r="H16" s="1">
        <v>4</v>
      </c>
      <c r="I16" s="1">
        <v>4</v>
      </c>
      <c r="J16" s="1">
        <v>6</v>
      </c>
      <c r="K16" s="1">
        <v>6</v>
      </c>
      <c r="L16" s="1">
        <v>0</v>
      </c>
      <c r="M16" s="1">
        <v>0</v>
      </c>
      <c r="N16" s="1">
        <v>0</v>
      </c>
      <c r="O16" s="1">
        <v>0</v>
      </c>
      <c r="P16" s="1">
        <v>2</v>
      </c>
      <c r="Q16" s="1">
        <v>2</v>
      </c>
      <c r="R16" s="1">
        <v>5</v>
      </c>
      <c r="S16" s="1">
        <v>5</v>
      </c>
      <c r="T16" s="6">
        <v>55</v>
      </c>
      <c r="U16" s="1" t="s">
        <v>26</v>
      </c>
    </row>
    <row r="17" spans="1:21" x14ac:dyDescent="0.35">
      <c r="A17" s="3">
        <v>16</v>
      </c>
      <c r="B17" s="2">
        <v>8</v>
      </c>
      <c r="C17" s="1">
        <v>11</v>
      </c>
      <c r="D17">
        <v>4</v>
      </c>
      <c r="E17" s="1">
        <v>15</v>
      </c>
      <c r="F17" s="1">
        <v>10</v>
      </c>
      <c r="G17" s="1">
        <v>20</v>
      </c>
      <c r="H17" s="1">
        <v>0</v>
      </c>
      <c r="I17" s="1">
        <v>0</v>
      </c>
      <c r="J17" s="1">
        <v>6</v>
      </c>
      <c r="K17" s="1">
        <v>10</v>
      </c>
      <c r="L17" s="1">
        <v>5</v>
      </c>
      <c r="M17" s="1">
        <v>5</v>
      </c>
      <c r="N17" s="1">
        <v>3</v>
      </c>
      <c r="O17" s="1">
        <v>3</v>
      </c>
      <c r="P17" s="1">
        <v>5</v>
      </c>
      <c r="Q17" s="1">
        <v>5</v>
      </c>
      <c r="R17" s="1">
        <v>0</v>
      </c>
      <c r="S17" s="1">
        <v>0</v>
      </c>
      <c r="T17" s="6">
        <v>69</v>
      </c>
      <c r="U17" s="1" t="s">
        <v>25</v>
      </c>
    </row>
    <row r="18" spans="1:21" x14ac:dyDescent="0.35">
      <c r="A18" s="3">
        <v>17</v>
      </c>
      <c r="B18" s="2">
        <v>6</v>
      </c>
      <c r="C18" s="1">
        <v>18</v>
      </c>
      <c r="D18">
        <v>4</v>
      </c>
      <c r="E18" s="1">
        <v>11</v>
      </c>
      <c r="F18" s="1">
        <v>10</v>
      </c>
      <c r="G18" s="1">
        <v>20</v>
      </c>
      <c r="H18" s="1">
        <v>5</v>
      </c>
      <c r="I18" s="1">
        <v>8</v>
      </c>
      <c r="J18" s="1">
        <v>6</v>
      </c>
      <c r="K18" s="1">
        <v>8</v>
      </c>
      <c r="L18" s="1">
        <v>3</v>
      </c>
      <c r="M18" s="1">
        <v>3</v>
      </c>
      <c r="N18" s="1">
        <v>3</v>
      </c>
      <c r="O18" s="1">
        <v>3</v>
      </c>
      <c r="P18" s="1">
        <v>3</v>
      </c>
      <c r="Q18" s="1">
        <v>3</v>
      </c>
      <c r="R18" s="1">
        <v>5</v>
      </c>
      <c r="S18" s="1">
        <v>5</v>
      </c>
      <c r="T18" s="6">
        <v>79</v>
      </c>
      <c r="U18" s="1" t="s">
        <v>25</v>
      </c>
    </row>
    <row r="19" spans="1:21" x14ac:dyDescent="0.35">
      <c r="A19" s="3">
        <v>18</v>
      </c>
      <c r="B19" s="2">
        <v>8</v>
      </c>
      <c r="C19" s="1">
        <v>9</v>
      </c>
      <c r="D19">
        <v>2</v>
      </c>
      <c r="E19" s="1">
        <v>7</v>
      </c>
      <c r="F19" s="1">
        <v>5</v>
      </c>
      <c r="G19" s="1">
        <v>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6">
        <v>21</v>
      </c>
      <c r="U19" s="1" t="s">
        <v>28</v>
      </c>
    </row>
    <row r="20" spans="1:21" x14ac:dyDescent="0.35">
      <c r="A20" s="3">
        <v>19</v>
      </c>
      <c r="B20" s="2">
        <v>8</v>
      </c>
      <c r="C20" s="1">
        <v>13</v>
      </c>
      <c r="D20">
        <v>4</v>
      </c>
      <c r="E20" s="1">
        <v>20</v>
      </c>
      <c r="F20" s="1">
        <v>10</v>
      </c>
      <c r="G20" s="1">
        <v>18</v>
      </c>
      <c r="H20" s="1">
        <v>4</v>
      </c>
      <c r="I20" s="1">
        <v>6</v>
      </c>
      <c r="J20" s="1">
        <v>6</v>
      </c>
      <c r="K20" s="1">
        <v>10</v>
      </c>
      <c r="L20" s="1">
        <v>5</v>
      </c>
      <c r="M20" s="1">
        <v>5</v>
      </c>
      <c r="N20" s="1">
        <v>0</v>
      </c>
      <c r="O20" s="1">
        <v>0</v>
      </c>
      <c r="P20" s="1">
        <v>5</v>
      </c>
      <c r="Q20" s="1">
        <v>5</v>
      </c>
      <c r="R20" s="1">
        <v>5</v>
      </c>
      <c r="S20" s="1">
        <v>5</v>
      </c>
      <c r="T20" s="6">
        <v>82</v>
      </c>
      <c r="U20" s="1" t="s">
        <v>24</v>
      </c>
    </row>
    <row r="21" spans="1:21" x14ac:dyDescent="0.35">
      <c r="A21" s="3">
        <v>20</v>
      </c>
      <c r="B21" s="2">
        <v>8</v>
      </c>
      <c r="C21" s="1">
        <v>20</v>
      </c>
      <c r="D21">
        <v>4</v>
      </c>
      <c r="E21" s="1">
        <v>19</v>
      </c>
      <c r="F21" s="1">
        <v>10</v>
      </c>
      <c r="G21" s="1">
        <v>20</v>
      </c>
      <c r="H21" s="1">
        <v>0</v>
      </c>
      <c r="I21" s="1">
        <v>0</v>
      </c>
      <c r="J21" s="1">
        <v>6</v>
      </c>
      <c r="K21" s="1">
        <v>8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6">
        <v>87</v>
      </c>
      <c r="U21" s="1" t="s">
        <v>24</v>
      </c>
    </row>
    <row r="22" spans="1:21" x14ac:dyDescent="0.35">
      <c r="A22" s="3">
        <v>21</v>
      </c>
      <c r="B22" s="2">
        <v>8</v>
      </c>
      <c r="C22" s="1">
        <v>11</v>
      </c>
      <c r="D22">
        <v>4</v>
      </c>
      <c r="E22" s="1">
        <v>8</v>
      </c>
      <c r="F22" s="1">
        <v>10</v>
      </c>
      <c r="G22" s="1">
        <v>20</v>
      </c>
      <c r="H22" s="1">
        <v>0</v>
      </c>
      <c r="I22" s="1">
        <v>0</v>
      </c>
      <c r="J22" s="1">
        <v>6</v>
      </c>
      <c r="K22" s="1">
        <v>10</v>
      </c>
      <c r="L22" s="1">
        <v>5</v>
      </c>
      <c r="M22" s="1">
        <v>5</v>
      </c>
      <c r="N22" s="1">
        <v>2</v>
      </c>
      <c r="O22" s="1">
        <v>2</v>
      </c>
      <c r="P22" s="1">
        <v>5</v>
      </c>
      <c r="Q22" s="1">
        <v>5</v>
      </c>
      <c r="R22" s="1">
        <v>0</v>
      </c>
      <c r="S22" s="1">
        <v>0</v>
      </c>
      <c r="T22" s="6">
        <v>61</v>
      </c>
      <c r="U22" s="1" t="s">
        <v>26</v>
      </c>
    </row>
    <row r="23" spans="1:21" x14ac:dyDescent="0.35">
      <c r="A23" s="3">
        <v>22</v>
      </c>
      <c r="B23" s="2">
        <v>8</v>
      </c>
      <c r="C23" s="1">
        <v>19</v>
      </c>
      <c r="D23">
        <v>3</v>
      </c>
      <c r="E23" s="1">
        <v>14</v>
      </c>
      <c r="F23" s="1">
        <v>9</v>
      </c>
      <c r="G23" s="1">
        <v>17</v>
      </c>
      <c r="H23" s="1">
        <v>0</v>
      </c>
      <c r="I23" s="1">
        <v>0</v>
      </c>
      <c r="J23" s="1">
        <v>6</v>
      </c>
      <c r="K23" s="1">
        <v>10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0</v>
      </c>
      <c r="S23" s="1">
        <v>0</v>
      </c>
      <c r="T23" s="6">
        <v>75</v>
      </c>
      <c r="U23" s="1" t="s">
        <v>25</v>
      </c>
    </row>
    <row r="24" spans="1:21" x14ac:dyDescent="0.35">
      <c r="A24" s="3">
        <v>23</v>
      </c>
      <c r="B24" s="2">
        <v>8</v>
      </c>
      <c r="C24" s="1">
        <v>11</v>
      </c>
      <c r="D24">
        <v>4</v>
      </c>
      <c r="E24" s="1">
        <v>19</v>
      </c>
      <c r="F24" s="1">
        <v>10</v>
      </c>
      <c r="G24" s="1">
        <v>20</v>
      </c>
      <c r="H24" s="1">
        <v>0</v>
      </c>
      <c r="I24" s="1">
        <v>0</v>
      </c>
      <c r="J24" s="1">
        <v>6</v>
      </c>
      <c r="K24" s="1">
        <v>10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6">
        <v>80</v>
      </c>
      <c r="U24" s="1" t="s">
        <v>25</v>
      </c>
    </row>
    <row r="25" spans="1:21" x14ac:dyDescent="0.35">
      <c r="A25" s="3">
        <v>24</v>
      </c>
      <c r="B25" s="2">
        <v>8</v>
      </c>
      <c r="C25" s="1">
        <v>20</v>
      </c>
      <c r="D25">
        <v>2</v>
      </c>
      <c r="E25" s="1">
        <v>12</v>
      </c>
      <c r="F25" s="1">
        <v>10</v>
      </c>
      <c r="G25" s="1">
        <v>18</v>
      </c>
      <c r="H25" s="1">
        <v>5</v>
      </c>
      <c r="I25" s="1">
        <v>10</v>
      </c>
      <c r="J25" s="1">
        <v>6</v>
      </c>
      <c r="K25" s="1">
        <v>10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5</v>
      </c>
      <c r="S25" s="1">
        <v>5</v>
      </c>
      <c r="T25" s="6">
        <v>90</v>
      </c>
      <c r="U25" s="1" t="s">
        <v>24</v>
      </c>
    </row>
    <row r="26" spans="1:21" x14ac:dyDescent="0.35">
      <c r="A26" s="3">
        <v>25</v>
      </c>
      <c r="B26" s="2">
        <v>5</v>
      </c>
      <c r="C26" s="1">
        <v>6</v>
      </c>
      <c r="D26">
        <v>0</v>
      </c>
      <c r="E26" s="1">
        <v>0</v>
      </c>
      <c r="F26" s="1">
        <v>10</v>
      </c>
      <c r="G26" s="1">
        <v>17</v>
      </c>
      <c r="H26" s="1">
        <v>4</v>
      </c>
      <c r="I26" s="1">
        <v>7</v>
      </c>
      <c r="J26" s="1">
        <v>0</v>
      </c>
      <c r="K26" s="1">
        <v>0</v>
      </c>
      <c r="L26" s="1">
        <v>3</v>
      </c>
      <c r="M26" s="1">
        <v>3</v>
      </c>
      <c r="N26" s="1">
        <v>3</v>
      </c>
      <c r="O26" s="1">
        <v>3</v>
      </c>
      <c r="P26" s="1">
        <v>5</v>
      </c>
      <c r="Q26" s="1">
        <v>5</v>
      </c>
      <c r="R26" s="1">
        <v>5</v>
      </c>
      <c r="S26" s="1">
        <v>5</v>
      </c>
      <c r="T26" s="6">
        <v>46</v>
      </c>
      <c r="U26" s="1" t="s">
        <v>27</v>
      </c>
    </row>
    <row r="27" spans="1:21" x14ac:dyDescent="0.35">
      <c r="A27" s="3">
        <v>26</v>
      </c>
      <c r="B27" s="2">
        <v>8</v>
      </c>
      <c r="C27" s="1">
        <v>12</v>
      </c>
      <c r="D27">
        <v>4</v>
      </c>
      <c r="E27" s="1">
        <v>18</v>
      </c>
      <c r="F27" s="1">
        <v>10</v>
      </c>
      <c r="G27" s="1">
        <v>20</v>
      </c>
      <c r="H27" s="1">
        <v>3</v>
      </c>
      <c r="I27" s="1">
        <v>5</v>
      </c>
      <c r="J27" s="1">
        <v>6</v>
      </c>
      <c r="K27" s="1">
        <v>10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6">
        <v>85</v>
      </c>
      <c r="U27" s="1" t="s">
        <v>24</v>
      </c>
    </row>
    <row r="28" spans="1:21" x14ac:dyDescent="0.35">
      <c r="A28" s="3">
        <v>27</v>
      </c>
      <c r="B28" s="2">
        <v>5</v>
      </c>
      <c r="C28" s="1">
        <v>10</v>
      </c>
      <c r="D28">
        <v>4</v>
      </c>
      <c r="E28" s="1">
        <v>11</v>
      </c>
      <c r="F28" s="1">
        <v>9</v>
      </c>
      <c r="G28" s="1">
        <v>17</v>
      </c>
      <c r="H28" s="1">
        <v>2</v>
      </c>
      <c r="I28" s="1">
        <v>2</v>
      </c>
      <c r="J28" s="1">
        <v>3</v>
      </c>
      <c r="K28" s="1">
        <v>4</v>
      </c>
      <c r="L28" s="1">
        <v>4</v>
      </c>
      <c r="M28" s="1">
        <v>4</v>
      </c>
      <c r="N28" s="1">
        <v>5</v>
      </c>
      <c r="O28" s="1">
        <v>5</v>
      </c>
      <c r="P28" s="1">
        <v>1</v>
      </c>
      <c r="Q28" s="1">
        <v>1</v>
      </c>
      <c r="R28" s="1">
        <v>4</v>
      </c>
      <c r="S28" s="1">
        <v>4</v>
      </c>
      <c r="T28" s="6">
        <v>58</v>
      </c>
      <c r="U28" s="1" t="s">
        <v>26</v>
      </c>
    </row>
    <row r="29" spans="1:21" x14ac:dyDescent="0.35">
      <c r="A29" s="3">
        <v>28</v>
      </c>
      <c r="B29" s="2">
        <v>8</v>
      </c>
      <c r="C29" s="1">
        <v>11</v>
      </c>
      <c r="D29">
        <v>3</v>
      </c>
      <c r="E29" s="1">
        <v>19</v>
      </c>
      <c r="F29" s="1">
        <v>10</v>
      </c>
      <c r="G29" s="1">
        <v>20</v>
      </c>
      <c r="H29" s="1">
        <v>5</v>
      </c>
      <c r="I29" s="1">
        <v>5</v>
      </c>
      <c r="J29" s="1">
        <v>3</v>
      </c>
      <c r="K29" s="1">
        <v>3</v>
      </c>
      <c r="L29" s="1">
        <v>5</v>
      </c>
      <c r="M29" s="1">
        <v>5</v>
      </c>
      <c r="N29" s="1">
        <v>0</v>
      </c>
      <c r="O29" s="1">
        <v>0</v>
      </c>
      <c r="P29" s="1">
        <v>5</v>
      </c>
      <c r="Q29" s="1">
        <v>5</v>
      </c>
      <c r="R29" s="1">
        <v>0</v>
      </c>
      <c r="S29" s="1">
        <v>0</v>
      </c>
      <c r="T29" s="6">
        <v>68</v>
      </c>
      <c r="U29" s="1" t="s">
        <v>25</v>
      </c>
    </row>
    <row r="30" spans="1:21" x14ac:dyDescent="0.35">
      <c r="A30" s="3">
        <v>29</v>
      </c>
      <c r="B30" s="2">
        <v>8</v>
      </c>
      <c r="C30" s="1">
        <v>19</v>
      </c>
      <c r="D30">
        <v>4</v>
      </c>
      <c r="E30" s="1">
        <v>14</v>
      </c>
      <c r="F30" s="1">
        <v>4</v>
      </c>
      <c r="G30" s="1">
        <v>9</v>
      </c>
      <c r="H30" s="1">
        <v>4</v>
      </c>
      <c r="I30" s="1">
        <v>4</v>
      </c>
      <c r="J30" s="1">
        <v>6</v>
      </c>
      <c r="K30" s="1">
        <v>8</v>
      </c>
      <c r="L30" s="1">
        <v>3</v>
      </c>
      <c r="M30" s="1">
        <v>3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6">
        <v>72</v>
      </c>
      <c r="U30" s="1" t="s">
        <v>25</v>
      </c>
    </row>
    <row r="31" spans="1:21" x14ac:dyDescent="0.35">
      <c r="A31" s="3">
        <v>30</v>
      </c>
      <c r="B31" s="2">
        <v>8</v>
      </c>
      <c r="C31" s="1">
        <v>11</v>
      </c>
      <c r="D31">
        <v>4</v>
      </c>
      <c r="E31" s="1">
        <v>19</v>
      </c>
      <c r="F31" s="1">
        <v>10</v>
      </c>
      <c r="G31" s="1">
        <v>20</v>
      </c>
      <c r="H31" s="1">
        <v>0</v>
      </c>
      <c r="I31" s="1">
        <v>0</v>
      </c>
      <c r="J31" s="1">
        <v>6</v>
      </c>
      <c r="K31" s="1">
        <v>10</v>
      </c>
      <c r="L31" s="1">
        <v>5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4</v>
      </c>
      <c r="S31" s="1">
        <v>4</v>
      </c>
      <c r="T31" s="6">
        <v>79</v>
      </c>
      <c r="U31" s="1" t="s">
        <v>25</v>
      </c>
    </row>
    <row r="32" spans="1:21" x14ac:dyDescent="0.35">
      <c r="A32" s="3">
        <v>31</v>
      </c>
      <c r="B32" s="2">
        <v>8</v>
      </c>
      <c r="C32">
        <v>16</v>
      </c>
      <c r="D32">
        <v>4</v>
      </c>
      <c r="E32">
        <v>20</v>
      </c>
      <c r="F32" s="1">
        <v>10</v>
      </c>
      <c r="G32" s="1">
        <v>20</v>
      </c>
      <c r="H32" s="1">
        <v>5</v>
      </c>
      <c r="I32" s="1">
        <v>8</v>
      </c>
      <c r="J32" s="1">
        <v>6</v>
      </c>
      <c r="K32" s="1">
        <v>10</v>
      </c>
      <c r="L32" s="1">
        <v>1</v>
      </c>
      <c r="M32" s="1">
        <v>1</v>
      </c>
      <c r="N32" s="1">
        <v>3</v>
      </c>
      <c r="O32" s="1">
        <v>3</v>
      </c>
      <c r="P32" s="1">
        <v>1</v>
      </c>
      <c r="Q32" s="1">
        <v>1</v>
      </c>
      <c r="R32" s="1">
        <v>5</v>
      </c>
      <c r="S32" s="1">
        <v>5</v>
      </c>
      <c r="T32" s="6">
        <v>84</v>
      </c>
      <c r="U32" s="1" t="s">
        <v>24</v>
      </c>
    </row>
    <row r="33" spans="1:21" x14ac:dyDescent="0.35">
      <c r="A33" s="3">
        <v>33</v>
      </c>
      <c r="B33" s="2">
        <v>8</v>
      </c>
      <c r="C33" s="1">
        <v>16</v>
      </c>
      <c r="D33">
        <v>1</v>
      </c>
      <c r="E33" s="1">
        <v>4</v>
      </c>
      <c r="F33" s="1">
        <v>6</v>
      </c>
      <c r="G33" s="1">
        <v>10</v>
      </c>
      <c r="H33" s="1">
        <v>4</v>
      </c>
      <c r="I33" s="1">
        <v>6</v>
      </c>
      <c r="J33" s="1">
        <v>3</v>
      </c>
      <c r="K33" s="1">
        <v>3</v>
      </c>
      <c r="L33" s="1">
        <v>1</v>
      </c>
      <c r="M33" s="1">
        <v>1</v>
      </c>
      <c r="N33" s="1">
        <v>3</v>
      </c>
      <c r="O33" s="1">
        <v>3</v>
      </c>
      <c r="P33" s="1">
        <v>3</v>
      </c>
      <c r="Q33" s="1">
        <v>3</v>
      </c>
      <c r="R33" s="1">
        <v>0</v>
      </c>
      <c r="S33" s="1">
        <v>0</v>
      </c>
      <c r="T33" s="6">
        <v>46</v>
      </c>
      <c r="U33" s="1" t="s">
        <v>27</v>
      </c>
    </row>
  </sheetData>
  <conditionalFormatting sqref="U2:U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33">
    <cfRule type="colorScale" priority="1">
      <colorScale>
        <cfvo type="num" val="40"/>
        <cfvo type="percentile" val="50"/>
        <cfvo type="num" val="89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D6D7-3213-4781-B501-2F5248469DB5}">
  <sheetPr filterMode="1"/>
  <dimension ref="A1:K20"/>
  <sheetViews>
    <sheetView workbookViewId="0">
      <selection sqref="A1:K20"/>
    </sheetView>
  </sheetViews>
  <sheetFormatPr defaultRowHeight="14.5" x14ac:dyDescent="0.35"/>
  <sheetData>
    <row r="1" spans="1:11" x14ac:dyDescent="0.35">
      <c r="A1" s="11"/>
      <c r="B1" s="11" t="s">
        <v>7</v>
      </c>
      <c r="C1" s="11" t="s">
        <v>8</v>
      </c>
      <c r="D1" s="11" t="s">
        <v>11</v>
      </c>
      <c r="E1" s="11" t="s">
        <v>13</v>
      </c>
      <c r="F1" s="11" t="s">
        <v>14</v>
      </c>
      <c r="G1" s="11" t="s">
        <v>16</v>
      </c>
      <c r="H1" s="11" t="s">
        <v>18</v>
      </c>
      <c r="I1" s="11" t="s">
        <v>17</v>
      </c>
      <c r="J1" s="11" t="s">
        <v>19</v>
      </c>
      <c r="K1" s="11" t="s">
        <v>5</v>
      </c>
    </row>
    <row r="2" spans="1:11" hidden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idden="1" x14ac:dyDescent="0.35">
      <c r="A3" s="9" t="s">
        <v>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</row>
    <row r="4" spans="1:11" hidden="1" x14ac:dyDescent="0.35">
      <c r="A4" s="9" t="s">
        <v>9</v>
      </c>
      <c r="B4" s="9">
        <v>0.23089142359986356</v>
      </c>
      <c r="C4" s="9"/>
      <c r="D4" s="9"/>
      <c r="E4" s="9"/>
      <c r="F4" s="9"/>
      <c r="G4" s="9"/>
      <c r="H4" s="9"/>
      <c r="I4" s="9"/>
      <c r="J4" s="9"/>
      <c r="K4" s="9"/>
    </row>
    <row r="5" spans="1:11" hidden="1" x14ac:dyDescent="0.35">
      <c r="A5" s="9" t="s">
        <v>8</v>
      </c>
      <c r="B5" s="9">
        <v>0.52062354194628857</v>
      </c>
      <c r="C5" s="9">
        <v>1</v>
      </c>
      <c r="D5" s="9"/>
      <c r="E5" s="9"/>
      <c r="F5" s="9"/>
      <c r="G5" s="9"/>
      <c r="H5" s="9"/>
      <c r="I5" s="9"/>
      <c r="J5" s="9"/>
      <c r="K5" s="9"/>
    </row>
    <row r="6" spans="1:11" hidden="1" x14ac:dyDescent="0.35">
      <c r="A6" s="9" t="s">
        <v>10</v>
      </c>
      <c r="B6" s="9">
        <v>6.5666301207191899E-2</v>
      </c>
      <c r="C6" s="9">
        <v>0.43596013588902371</v>
      </c>
      <c r="D6" s="9"/>
      <c r="E6" s="9"/>
      <c r="F6" s="9"/>
      <c r="G6" s="9"/>
      <c r="H6" s="9"/>
      <c r="I6" s="9"/>
      <c r="J6" s="9"/>
      <c r="K6" s="9"/>
    </row>
    <row r="7" spans="1:11" hidden="1" x14ac:dyDescent="0.35">
      <c r="A7" s="9" t="s">
        <v>11</v>
      </c>
      <c r="B7" s="9">
        <v>0.11812775585458102</v>
      </c>
      <c r="C7" s="9">
        <v>0.53897448143944771</v>
      </c>
      <c r="D7" s="9">
        <v>1</v>
      </c>
      <c r="E7" s="9"/>
      <c r="F7" s="9"/>
      <c r="G7" s="9"/>
      <c r="H7" s="9"/>
      <c r="I7" s="9"/>
      <c r="J7" s="9"/>
      <c r="K7" s="9"/>
    </row>
    <row r="8" spans="1:11" hidden="1" x14ac:dyDescent="0.35">
      <c r="A8" s="9" t="s">
        <v>12</v>
      </c>
      <c r="B8" s="9">
        <v>0.31808331905448073</v>
      </c>
      <c r="C8" s="9">
        <v>0.25102302284356665</v>
      </c>
      <c r="D8" s="9">
        <v>0.24210362817716863</v>
      </c>
      <c r="E8" s="9"/>
      <c r="F8" s="9"/>
      <c r="G8" s="9"/>
      <c r="H8" s="9"/>
      <c r="I8" s="9"/>
      <c r="J8" s="9"/>
      <c r="K8" s="9"/>
    </row>
    <row r="9" spans="1:11" hidden="1" x14ac:dyDescent="0.35">
      <c r="A9" s="9" t="s">
        <v>13</v>
      </c>
      <c r="B9" s="9">
        <v>0.28324683768377046</v>
      </c>
      <c r="C9" s="9">
        <v>0.1891109863032934</v>
      </c>
      <c r="D9" s="9">
        <v>0.25648472390637339</v>
      </c>
      <c r="E9" s="9">
        <v>1</v>
      </c>
      <c r="F9" s="9"/>
      <c r="G9" s="9"/>
      <c r="H9" s="9"/>
      <c r="I9" s="9"/>
      <c r="J9" s="9"/>
      <c r="K9" s="9"/>
    </row>
    <row r="10" spans="1:11" hidden="1" x14ac:dyDescent="0.35">
      <c r="A10" s="9" t="s">
        <v>15</v>
      </c>
      <c r="B10" s="9">
        <v>0.32916897834144099</v>
      </c>
      <c r="C10" s="9">
        <v>0.55601679035554963</v>
      </c>
      <c r="D10" s="9">
        <v>0.67576578541959631</v>
      </c>
      <c r="E10" s="9">
        <v>0.16028271048286249</v>
      </c>
      <c r="F10" s="9"/>
      <c r="G10" s="9"/>
      <c r="H10" s="9"/>
      <c r="I10" s="9"/>
      <c r="J10" s="9"/>
      <c r="K10" s="9"/>
    </row>
    <row r="11" spans="1:11" hidden="1" x14ac:dyDescent="0.35">
      <c r="A11" s="9" t="s">
        <v>14</v>
      </c>
      <c r="B11" s="9">
        <v>0.32843221836521314</v>
      </c>
      <c r="C11" s="9">
        <v>0.60509668747690737</v>
      </c>
      <c r="D11" s="9">
        <v>0.70457700138267076</v>
      </c>
      <c r="E11" s="9">
        <v>0.14441984127197224</v>
      </c>
      <c r="F11" s="9">
        <v>1</v>
      </c>
      <c r="G11" s="9"/>
      <c r="H11" s="9"/>
      <c r="I11" s="9"/>
      <c r="J11" s="9"/>
      <c r="K11" s="9"/>
    </row>
    <row r="12" spans="1:11" hidden="1" x14ac:dyDescent="0.35">
      <c r="A12" s="9" t="s">
        <v>20</v>
      </c>
      <c r="B12" s="9">
        <v>0.33553643488760249</v>
      </c>
      <c r="C12" s="9">
        <v>0.60972574926209844</v>
      </c>
      <c r="D12" s="9">
        <v>0.67729470508151124</v>
      </c>
      <c r="E12" s="9">
        <v>0.11068086421545084</v>
      </c>
      <c r="F12" s="9">
        <v>0.66666802707623152</v>
      </c>
      <c r="G12" s="9"/>
      <c r="H12" s="9"/>
      <c r="I12" s="9"/>
      <c r="J12" s="9"/>
      <c r="K12" s="9"/>
    </row>
    <row r="13" spans="1:11" hidden="1" x14ac:dyDescent="0.35">
      <c r="A13" s="9" t="s">
        <v>16</v>
      </c>
      <c r="B13" s="9">
        <v>0.33553643488760249</v>
      </c>
      <c r="C13" s="9">
        <v>0.60972574926209844</v>
      </c>
      <c r="D13" s="9">
        <v>0.67729470508151124</v>
      </c>
      <c r="E13" s="9">
        <v>0.11068086421545084</v>
      </c>
      <c r="F13" s="9">
        <v>0.66666802707623152</v>
      </c>
      <c r="G13" s="9">
        <v>1</v>
      </c>
      <c r="H13" s="9"/>
      <c r="I13" s="9"/>
      <c r="J13" s="9"/>
      <c r="K13" s="9"/>
    </row>
    <row r="14" spans="1:11" hidden="1" x14ac:dyDescent="0.35">
      <c r="A14" s="9" t="s">
        <v>2</v>
      </c>
      <c r="B14" s="9">
        <v>0.40065851165697303</v>
      </c>
      <c r="C14" s="9">
        <v>0.44011861618262876</v>
      </c>
      <c r="D14" s="9">
        <v>0.44852849566215797</v>
      </c>
      <c r="E14" s="9">
        <v>0.19656505198315996</v>
      </c>
      <c r="F14" s="9">
        <v>0.43259381425643956</v>
      </c>
      <c r="G14" s="9">
        <v>0.58991632174072894</v>
      </c>
      <c r="H14" s="9"/>
      <c r="I14" s="9"/>
      <c r="J14" s="9"/>
      <c r="K14" s="9"/>
    </row>
    <row r="15" spans="1:11" hidden="1" x14ac:dyDescent="0.35">
      <c r="A15" s="9" t="s">
        <v>18</v>
      </c>
      <c r="B15" s="9">
        <v>0.4197122605432585</v>
      </c>
      <c r="C15" s="9">
        <v>0.45611238453452607</v>
      </c>
      <c r="D15" s="9">
        <v>0.45687115238806802</v>
      </c>
      <c r="E15" s="9">
        <v>0.18147791952713668</v>
      </c>
      <c r="F15" s="9">
        <v>0.44400014111142155</v>
      </c>
      <c r="G15" s="9">
        <v>0.60164590045087951</v>
      </c>
      <c r="H15" s="9">
        <v>1</v>
      </c>
      <c r="I15" s="9"/>
      <c r="J15" s="9"/>
      <c r="K15" s="9"/>
    </row>
    <row r="16" spans="1:11" hidden="1" x14ac:dyDescent="0.35">
      <c r="A16" s="9" t="s">
        <v>3</v>
      </c>
      <c r="B16" s="9">
        <v>5.868339530462427E-2</v>
      </c>
      <c r="C16" s="9">
        <v>0.30497204505607028</v>
      </c>
      <c r="D16" s="9">
        <v>0.3826685547866468</v>
      </c>
      <c r="E16" s="9">
        <v>-6.2992331666950188E-2</v>
      </c>
      <c r="F16" s="9">
        <v>0.42836358092537608</v>
      </c>
      <c r="G16" s="9">
        <v>0.58965389284519987</v>
      </c>
      <c r="H16" s="9">
        <v>0.30714152817110207</v>
      </c>
      <c r="I16" s="9"/>
      <c r="J16" s="9"/>
      <c r="K16" s="9"/>
    </row>
    <row r="17" spans="1:11" hidden="1" x14ac:dyDescent="0.35">
      <c r="A17" s="9" t="s">
        <v>17</v>
      </c>
      <c r="B17" s="9">
        <v>5.868339530462427E-2</v>
      </c>
      <c r="C17" s="9">
        <v>0.30497204505607028</v>
      </c>
      <c r="D17" s="9">
        <v>0.3826685547866468</v>
      </c>
      <c r="E17" s="9">
        <v>-6.2992331666950188E-2</v>
      </c>
      <c r="F17" s="9">
        <v>0.42836358092537608</v>
      </c>
      <c r="G17" s="9">
        <v>0.58965389284519987</v>
      </c>
      <c r="H17" s="9">
        <v>0.30714152817110207</v>
      </c>
      <c r="I17" s="9">
        <v>1</v>
      </c>
      <c r="J17" s="9"/>
      <c r="K17" s="9"/>
    </row>
    <row r="18" spans="1:11" hidden="1" x14ac:dyDescent="0.35">
      <c r="A18" s="9" t="s">
        <v>4</v>
      </c>
      <c r="B18" s="9">
        <v>0.1364059007909838</v>
      </c>
      <c r="C18" s="9">
        <v>0.14255198554343182</v>
      </c>
      <c r="D18" s="9">
        <v>3.2717462586750769E-2</v>
      </c>
      <c r="E18" s="9">
        <v>0.24345322188014099</v>
      </c>
      <c r="F18" s="9">
        <v>8.1874904913661506E-2</v>
      </c>
      <c r="G18" s="9">
        <v>2.5420785538689726E-2</v>
      </c>
      <c r="H18" s="9">
        <v>0.24163830992930244</v>
      </c>
      <c r="I18" s="9">
        <v>0.17038025389521114</v>
      </c>
      <c r="J18" s="9"/>
      <c r="K18" s="9"/>
    </row>
    <row r="19" spans="1:11" hidden="1" x14ac:dyDescent="0.35">
      <c r="A19" s="9" t="s">
        <v>19</v>
      </c>
      <c r="B19" s="9">
        <v>0.1364059007909838</v>
      </c>
      <c r="C19" s="9">
        <v>0.14255198554343182</v>
      </c>
      <c r="D19" s="9">
        <v>3.2717462586750769E-2</v>
      </c>
      <c r="E19" s="9">
        <v>0.24345322188014099</v>
      </c>
      <c r="F19" s="9">
        <v>8.1874904913661506E-2</v>
      </c>
      <c r="G19" s="9">
        <v>2.5420785538689726E-2</v>
      </c>
      <c r="H19" s="9">
        <v>0.24163830992930244</v>
      </c>
      <c r="I19" s="9">
        <v>0.17038025389521114</v>
      </c>
      <c r="J19" s="9">
        <v>1</v>
      </c>
      <c r="K19" s="9"/>
    </row>
    <row r="20" spans="1:11" ht="15" thickBot="1" x14ac:dyDescent="0.4">
      <c r="A20" s="10" t="s">
        <v>5</v>
      </c>
      <c r="B20" s="10">
        <v>0.60308120805367937</v>
      </c>
      <c r="C20" s="10">
        <v>0.8322393100035701</v>
      </c>
      <c r="D20" s="10">
        <v>0.7739769947752756</v>
      </c>
      <c r="E20" s="10">
        <v>0.41719910491954626</v>
      </c>
      <c r="F20" s="10">
        <v>0.79713057632880202</v>
      </c>
      <c r="G20" s="10">
        <v>0.77739417598186911</v>
      </c>
      <c r="H20" s="10">
        <v>0.65975986862386626</v>
      </c>
      <c r="I20" s="10">
        <v>0.45235965282557056</v>
      </c>
      <c r="J20" s="10">
        <v>0.269792018826083</v>
      </c>
      <c r="K20" s="10">
        <v>1</v>
      </c>
    </row>
  </sheetData>
  <autoFilter ref="A1:K20" xr:uid="{3BA12394-F99D-45E2-871C-A5DF5C91B6D4}">
    <filterColumn colId="0">
      <filters>
        <filter val="TO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E973-32C9-4790-850C-9AF75964D287}">
  <dimension ref="A1:C32"/>
  <sheetViews>
    <sheetView topLeftCell="A25" workbookViewId="0">
      <selection activeCell="B32" sqref="B32"/>
    </sheetView>
  </sheetViews>
  <sheetFormatPr defaultRowHeight="14.5" x14ac:dyDescent="0.35"/>
  <sheetData>
    <row r="1" spans="1:3" x14ac:dyDescent="0.35">
      <c r="A1" s="3">
        <v>1</v>
      </c>
      <c r="B1" s="6">
        <v>36</v>
      </c>
      <c r="C1" s="1" t="s">
        <v>28</v>
      </c>
    </row>
    <row r="2" spans="1:3" x14ac:dyDescent="0.35">
      <c r="A2" s="3">
        <v>2</v>
      </c>
      <c r="B2" s="6">
        <v>89</v>
      </c>
      <c r="C2" s="1" t="s">
        <v>24</v>
      </c>
    </row>
    <row r="3" spans="1:3" x14ac:dyDescent="0.35">
      <c r="A3" s="3">
        <v>3</v>
      </c>
      <c r="B3" s="6">
        <v>77</v>
      </c>
      <c r="C3" s="1" t="s">
        <v>25</v>
      </c>
    </row>
    <row r="4" spans="1:3" x14ac:dyDescent="0.35">
      <c r="A4" s="3">
        <v>4</v>
      </c>
      <c r="B4" s="6">
        <v>47</v>
      </c>
      <c r="C4" s="1" t="s">
        <v>27</v>
      </c>
    </row>
    <row r="5" spans="1:3" x14ac:dyDescent="0.35">
      <c r="A5" s="3">
        <v>5</v>
      </c>
      <c r="B5" s="6">
        <v>95</v>
      </c>
      <c r="C5" s="1" t="s">
        <v>23</v>
      </c>
    </row>
    <row r="6" spans="1:3" x14ac:dyDescent="0.35">
      <c r="A6" s="3">
        <v>6</v>
      </c>
      <c r="B6" s="6">
        <v>39</v>
      </c>
      <c r="C6" s="1" t="s">
        <v>27</v>
      </c>
    </row>
    <row r="7" spans="1:3" x14ac:dyDescent="0.35">
      <c r="A7" s="3">
        <v>7</v>
      </c>
      <c r="B7" s="6">
        <v>68</v>
      </c>
      <c r="C7" s="1" t="s">
        <v>25</v>
      </c>
    </row>
    <row r="8" spans="1:3" x14ac:dyDescent="0.35">
      <c r="A8" s="3">
        <v>8</v>
      </c>
      <c r="B8" s="6">
        <v>67</v>
      </c>
      <c r="C8" s="1" t="s">
        <v>25</v>
      </c>
    </row>
    <row r="9" spans="1:3" x14ac:dyDescent="0.35">
      <c r="A9" s="3">
        <v>9</v>
      </c>
      <c r="B9" s="6">
        <v>32</v>
      </c>
      <c r="C9" s="1" t="s">
        <v>28</v>
      </c>
    </row>
    <row r="10" spans="1:3" x14ac:dyDescent="0.35">
      <c r="A10" s="3">
        <v>10</v>
      </c>
      <c r="B10" s="6">
        <v>48</v>
      </c>
      <c r="C10" s="1" t="s">
        <v>27</v>
      </c>
    </row>
    <row r="11" spans="1:3" x14ac:dyDescent="0.35">
      <c r="A11" s="3">
        <v>11</v>
      </c>
      <c r="B11" s="6">
        <v>86</v>
      </c>
      <c r="C11" s="1" t="s">
        <v>24</v>
      </c>
    </row>
    <row r="12" spans="1:3" x14ac:dyDescent="0.35">
      <c r="A12" s="3">
        <v>12</v>
      </c>
      <c r="B12" s="6">
        <v>87</v>
      </c>
      <c r="C12" s="1" t="s">
        <v>24</v>
      </c>
    </row>
    <row r="13" spans="1:3" x14ac:dyDescent="0.35">
      <c r="A13" s="3">
        <v>13</v>
      </c>
      <c r="B13" s="6">
        <v>85</v>
      </c>
      <c r="C13" s="1" t="s">
        <v>24</v>
      </c>
    </row>
    <row r="14" spans="1:3" x14ac:dyDescent="0.35">
      <c r="A14" s="3">
        <v>14</v>
      </c>
      <c r="B14" s="6">
        <v>8</v>
      </c>
      <c r="C14" s="1" t="s">
        <v>28</v>
      </c>
    </row>
    <row r="15" spans="1:3" x14ac:dyDescent="0.35">
      <c r="A15" s="3">
        <v>15</v>
      </c>
      <c r="B15" s="6">
        <v>55</v>
      </c>
      <c r="C15" s="1" t="s">
        <v>26</v>
      </c>
    </row>
    <row r="16" spans="1:3" x14ac:dyDescent="0.35">
      <c r="A16" s="3">
        <v>16</v>
      </c>
      <c r="B16" s="6">
        <v>69</v>
      </c>
      <c r="C16" s="1" t="s">
        <v>25</v>
      </c>
    </row>
    <row r="17" spans="1:3" x14ac:dyDescent="0.35">
      <c r="A17" s="3">
        <v>17</v>
      </c>
      <c r="B17" s="6">
        <v>79</v>
      </c>
      <c r="C17" s="1" t="s">
        <v>25</v>
      </c>
    </row>
    <row r="18" spans="1:3" x14ac:dyDescent="0.35">
      <c r="A18" s="3">
        <v>18</v>
      </c>
      <c r="B18" s="6">
        <v>21</v>
      </c>
      <c r="C18" s="1" t="s">
        <v>28</v>
      </c>
    </row>
    <row r="19" spans="1:3" x14ac:dyDescent="0.35">
      <c r="A19" s="3">
        <v>19</v>
      </c>
      <c r="B19" s="6">
        <v>82</v>
      </c>
      <c r="C19" s="1" t="s">
        <v>24</v>
      </c>
    </row>
    <row r="20" spans="1:3" x14ac:dyDescent="0.35">
      <c r="A20" s="3">
        <v>20</v>
      </c>
      <c r="B20" s="6">
        <v>87</v>
      </c>
      <c r="C20" s="1" t="s">
        <v>24</v>
      </c>
    </row>
    <row r="21" spans="1:3" x14ac:dyDescent="0.35">
      <c r="A21" s="3">
        <v>21</v>
      </c>
      <c r="B21" s="6">
        <v>61</v>
      </c>
      <c r="C21" s="1" t="s">
        <v>26</v>
      </c>
    </row>
    <row r="22" spans="1:3" x14ac:dyDescent="0.35">
      <c r="A22" s="3">
        <v>22</v>
      </c>
      <c r="B22" s="6">
        <v>75</v>
      </c>
      <c r="C22" s="1" t="s">
        <v>25</v>
      </c>
    </row>
    <row r="23" spans="1:3" x14ac:dyDescent="0.35">
      <c r="A23" s="3">
        <v>23</v>
      </c>
      <c r="B23" s="6">
        <v>80</v>
      </c>
      <c r="C23" s="1" t="s">
        <v>25</v>
      </c>
    </row>
    <row r="24" spans="1:3" x14ac:dyDescent="0.35">
      <c r="A24" s="3">
        <v>24</v>
      </c>
      <c r="B24" s="6">
        <v>90</v>
      </c>
      <c r="C24" s="1" t="s">
        <v>24</v>
      </c>
    </row>
    <row r="25" spans="1:3" x14ac:dyDescent="0.35">
      <c r="A25" s="3">
        <v>25</v>
      </c>
      <c r="B25" s="6">
        <v>46</v>
      </c>
      <c r="C25" s="1" t="s">
        <v>27</v>
      </c>
    </row>
    <row r="26" spans="1:3" x14ac:dyDescent="0.35">
      <c r="A26" s="3">
        <v>26</v>
      </c>
      <c r="B26" s="6">
        <v>85</v>
      </c>
      <c r="C26" s="1" t="s">
        <v>24</v>
      </c>
    </row>
    <row r="27" spans="1:3" x14ac:dyDescent="0.35">
      <c r="A27" s="3">
        <v>27</v>
      </c>
      <c r="B27" s="6">
        <v>58</v>
      </c>
      <c r="C27" s="1" t="s">
        <v>26</v>
      </c>
    </row>
    <row r="28" spans="1:3" x14ac:dyDescent="0.35">
      <c r="A28" s="3">
        <v>28</v>
      </c>
      <c r="B28" s="6">
        <v>68</v>
      </c>
      <c r="C28" s="1" t="s">
        <v>25</v>
      </c>
    </row>
    <row r="29" spans="1:3" x14ac:dyDescent="0.35">
      <c r="A29" s="3">
        <v>29</v>
      </c>
      <c r="B29" s="6">
        <v>72</v>
      </c>
      <c r="C29" s="1" t="s">
        <v>25</v>
      </c>
    </row>
    <row r="30" spans="1:3" x14ac:dyDescent="0.35">
      <c r="A30" s="3">
        <v>30</v>
      </c>
      <c r="B30" s="6">
        <v>79</v>
      </c>
      <c r="C30" s="1" t="s">
        <v>25</v>
      </c>
    </row>
    <row r="31" spans="1:3" x14ac:dyDescent="0.35">
      <c r="A31" s="3">
        <v>31</v>
      </c>
      <c r="B31" s="6">
        <v>84</v>
      </c>
      <c r="C31" s="1" t="s">
        <v>24</v>
      </c>
    </row>
    <row r="32" spans="1:3" x14ac:dyDescent="0.35">
      <c r="A32" s="3">
        <v>33</v>
      </c>
      <c r="B32" s="6">
        <v>46</v>
      </c>
      <c r="C32" s="1" t="s">
        <v>27</v>
      </c>
    </row>
  </sheetData>
  <conditionalFormatting sqref="C1:C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32">
    <cfRule type="colorScale" priority="1">
      <colorScale>
        <cfvo type="num" val="40"/>
        <cfvo type="percentile" val="50"/>
        <cfvo type="num" val="89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D3F3-03E3-48C8-8B26-7803929A2C69}">
  <dimension ref="A1:J155"/>
  <sheetViews>
    <sheetView topLeftCell="B1" zoomScale="115" zoomScaleNormal="115" workbookViewId="0">
      <selection activeCell="P7" sqref="P7"/>
    </sheetView>
  </sheetViews>
  <sheetFormatPr defaultRowHeight="14.5" x14ac:dyDescent="0.35"/>
  <cols>
    <col min="2" max="2" width="9" bestFit="1" customWidth="1"/>
  </cols>
  <sheetData>
    <row r="1" spans="1:3" x14ac:dyDescent="0.35">
      <c r="A1" t="s">
        <v>33</v>
      </c>
      <c r="B1">
        <f>ROUND(AVERAGE(GRADES!B1:B32),)</f>
        <v>66</v>
      </c>
    </row>
    <row r="2" spans="1:3" x14ac:dyDescent="0.35">
      <c r="A2" t="s">
        <v>34</v>
      </c>
      <c r="B2">
        <f>ROUND(_xlfn.STDEV.S(GRADES!B14:B32), 0)</f>
        <v>22</v>
      </c>
    </row>
    <row r="3" spans="1:3" x14ac:dyDescent="0.35">
      <c r="B3" s="8">
        <f>B1-3*B2</f>
        <v>0</v>
      </c>
      <c r="C3" s="8">
        <f>B1+3*B2</f>
        <v>132</v>
      </c>
    </row>
    <row r="6" spans="1:3" x14ac:dyDescent="0.35">
      <c r="B6">
        <v>1</v>
      </c>
      <c r="C6">
        <f>_xlfn.NORM.DIST(B6,$B$1,$B$2, FALSE)</f>
        <v>2.3064048355653355E-4</v>
      </c>
    </row>
    <row r="7" spans="1:3" x14ac:dyDescent="0.35">
      <c r="B7">
        <v>2</v>
      </c>
      <c r="C7">
        <f t="shared" ref="C7:C70" si="0">_xlfn.NORM.DIST(B7,$B$1,$B$2, FALSE)</f>
        <v>2.635187736583194E-4</v>
      </c>
    </row>
    <row r="8" spans="1:3" x14ac:dyDescent="0.35">
      <c r="B8">
        <v>3</v>
      </c>
      <c r="C8">
        <f t="shared" si="0"/>
        <v>3.0046250169949308E-4</v>
      </c>
    </row>
    <row r="9" spans="1:3" x14ac:dyDescent="0.35">
      <c r="B9">
        <v>4</v>
      </c>
      <c r="C9">
        <f t="shared" si="0"/>
        <v>3.4187842494133271E-4</v>
      </c>
    </row>
    <row r="10" spans="1:3" x14ac:dyDescent="0.35">
      <c r="B10">
        <v>5</v>
      </c>
      <c r="C10">
        <f t="shared" si="0"/>
        <v>3.8820024697430256E-4</v>
      </c>
    </row>
    <row r="11" spans="1:3" x14ac:dyDescent="0.35">
      <c r="B11">
        <v>6</v>
      </c>
      <c r="C11">
        <f t="shared" si="0"/>
        <v>4.3988850933909129E-4</v>
      </c>
    </row>
    <row r="12" spans="1:3" x14ac:dyDescent="0.35">
      <c r="B12">
        <v>7</v>
      </c>
      <c r="C12">
        <f t="shared" si="0"/>
        <v>4.9743017313283271E-4</v>
      </c>
    </row>
    <row r="13" spans="1:3" x14ac:dyDescent="0.35">
      <c r="B13">
        <v>8</v>
      </c>
      <c r="C13">
        <f t="shared" si="0"/>
        <v>5.6133785416005082E-4</v>
      </c>
    </row>
    <row r="14" spans="1:3" x14ac:dyDescent="0.35">
      <c r="B14">
        <v>9</v>
      </c>
      <c r="C14">
        <f t="shared" si="0"/>
        <v>6.3214867562545025E-4</v>
      </c>
    </row>
    <row r="15" spans="1:3" x14ac:dyDescent="0.35">
      <c r="B15">
        <v>10</v>
      </c>
      <c r="C15">
        <f t="shared" si="0"/>
        <v>7.1042270349343684E-4</v>
      </c>
    </row>
    <row r="16" spans="1:3" x14ac:dyDescent="0.35">
      <c r="B16">
        <v>11</v>
      </c>
      <c r="C16">
        <f t="shared" si="0"/>
        <v>7.9674093152584267E-4</v>
      </c>
    </row>
    <row r="17" spans="2:10" x14ac:dyDescent="0.35">
      <c r="B17">
        <v>12</v>
      </c>
      <c r="C17">
        <f t="shared" si="0"/>
        <v>8.9170278571579123E-4</v>
      </c>
    </row>
    <row r="18" spans="2:10" x14ac:dyDescent="0.35">
      <c r="B18">
        <v>13</v>
      </c>
      <c r="C18">
        <f t="shared" si="0"/>
        <v>9.9592312141289743E-4</v>
      </c>
    </row>
    <row r="19" spans="2:10" x14ac:dyDescent="0.35">
      <c r="B19">
        <v>14</v>
      </c>
      <c r="C19">
        <f t="shared" si="0"/>
        <v>1.1100286909213419E-3</v>
      </c>
    </row>
    <row r="20" spans="2:10" x14ac:dyDescent="0.35">
      <c r="B20">
        <v>15</v>
      </c>
      <c r="C20">
        <f t="shared" si="0"/>
        <v>1.2346540647709828E-3</v>
      </c>
    </row>
    <row r="21" spans="2:10" x14ac:dyDescent="0.35">
      <c r="B21">
        <v>16</v>
      </c>
      <c r="C21">
        <f t="shared" si="0"/>
        <v>1.3704369962182108E-3</v>
      </c>
    </row>
    <row r="22" spans="2:10" x14ac:dyDescent="0.35">
      <c r="B22">
        <v>17</v>
      </c>
      <c r="C22">
        <f t="shared" si="0"/>
        <v>1.5180132258136594E-3</v>
      </c>
    </row>
    <row r="23" spans="2:10" x14ac:dyDescent="0.35">
      <c r="B23">
        <v>18</v>
      </c>
      <c r="C23">
        <f t="shared" si="0"/>
        <v>1.6780107310422098E-3</v>
      </c>
      <c r="H23" t="s">
        <v>34</v>
      </c>
      <c r="I23" t="s">
        <v>35</v>
      </c>
      <c r="J23" t="s">
        <v>36</v>
      </c>
    </row>
    <row r="24" spans="2:10" x14ac:dyDescent="0.35">
      <c r="B24">
        <v>19</v>
      </c>
      <c r="C24">
        <f t="shared" si="0"/>
        <v>1.8510434350378618E-3</v>
      </c>
      <c r="H24" t="s">
        <v>37</v>
      </c>
      <c r="I24">
        <f>I27-3*$B$2</f>
        <v>0</v>
      </c>
      <c r="J24">
        <v>0</v>
      </c>
    </row>
    <row r="25" spans="2:10" x14ac:dyDescent="0.35">
      <c r="B25">
        <v>20</v>
      </c>
      <c r="C25">
        <f t="shared" si="0"/>
        <v>2.0377043981178516E-3</v>
      </c>
      <c r="H25" t="s">
        <v>38</v>
      </c>
      <c r="I25">
        <f>I27-2*$B$2</f>
        <v>22</v>
      </c>
      <c r="J25">
        <v>0</v>
      </c>
    </row>
    <row r="26" spans="2:10" x14ac:dyDescent="0.35">
      <c r="B26">
        <v>21</v>
      </c>
      <c r="C26">
        <f t="shared" si="0"/>
        <v>2.2385585262578939E-3</v>
      </c>
      <c r="H26" t="s">
        <v>39</v>
      </c>
      <c r="I26">
        <f>I27-$B$2</f>
        <v>44</v>
      </c>
      <c r="J26">
        <v>0</v>
      </c>
    </row>
    <row r="27" spans="2:10" x14ac:dyDescent="0.35">
      <c r="B27">
        <v>22</v>
      </c>
      <c r="C27">
        <f t="shared" si="0"/>
        <v>2.4541348415085484E-3</v>
      </c>
      <c r="H27" t="s">
        <v>40</v>
      </c>
      <c r="I27">
        <f>B1</f>
        <v>66</v>
      </c>
      <c r="J27">
        <v>0</v>
      </c>
    </row>
    <row r="28" spans="2:10" x14ac:dyDescent="0.35">
      <c r="B28">
        <v>23</v>
      </c>
      <c r="C28">
        <f t="shared" si="0"/>
        <v>2.6849183705717965E-3</v>
      </c>
      <c r="H28" t="s">
        <v>41</v>
      </c>
      <c r="I28">
        <f>I27+$B$2</f>
        <v>88</v>
      </c>
      <c r="J28">
        <v>0</v>
      </c>
    </row>
    <row r="29" spans="2:10" x14ac:dyDescent="0.35">
      <c r="B29">
        <v>24</v>
      </c>
      <c r="C29">
        <f t="shared" si="0"/>
        <v>2.9313417191333085E-3</v>
      </c>
      <c r="H29" t="s">
        <v>42</v>
      </c>
      <c r="I29">
        <f>I27+2*$B$2</f>
        <v>110</v>
      </c>
      <c r="J29">
        <v>0</v>
      </c>
    </row>
    <row r="30" spans="2:10" x14ac:dyDescent="0.35">
      <c r="B30">
        <v>25</v>
      </c>
      <c r="C30">
        <f t="shared" si="0"/>
        <v>3.1937764108739696E-3</v>
      </c>
      <c r="H30" t="s">
        <v>43</v>
      </c>
      <c r="I30">
        <f>I27+3*$B$2</f>
        <v>132</v>
      </c>
      <c r="J30">
        <v>0</v>
      </c>
    </row>
    <row r="31" spans="2:10" x14ac:dyDescent="0.35">
      <c r="B31">
        <v>26</v>
      </c>
      <c r="C31">
        <f t="shared" si="0"/>
        <v>3.472524081139398E-3</v>
      </c>
    </row>
    <row r="32" spans="2:10" x14ac:dyDescent="0.35">
      <c r="B32">
        <v>27</v>
      </c>
      <c r="C32">
        <f t="shared" si="0"/>
        <v>3.7678076257880292E-3</v>
      </c>
    </row>
    <row r="33" spans="2:3" x14ac:dyDescent="0.35">
      <c r="B33">
        <v>28</v>
      </c>
      <c r="C33">
        <f t="shared" si="0"/>
        <v>4.0797624155147396E-3</v>
      </c>
    </row>
    <row r="34" spans="2:3" x14ac:dyDescent="0.35">
      <c r="B34">
        <v>29</v>
      </c>
      <c r="C34">
        <f t="shared" si="0"/>
        <v>4.4084276946996619E-3</v>
      </c>
    </row>
    <row r="35" spans="2:3" x14ac:dyDescent="0.35">
      <c r="B35">
        <v>30</v>
      </c>
      <c r="C35">
        <f t="shared" si="0"/>
        <v>4.7537382913009612E-3</v>
      </c>
    </row>
    <row r="36" spans="2:3" x14ac:dyDescent="0.35">
      <c r="B36">
        <v>31</v>
      </c>
      <c r="C36">
        <f t="shared" si="0"/>
        <v>5.1155167702412003E-3</v>
      </c>
    </row>
    <row r="37" spans="2:3" x14ac:dyDescent="0.35">
      <c r="B37">
        <v>32</v>
      </c>
      <c r="C37">
        <f t="shared" si="0"/>
        <v>5.4934661668863153E-3</v>
      </c>
    </row>
    <row r="38" spans="2:3" x14ac:dyDescent="0.35">
      <c r="B38">
        <v>33</v>
      </c>
      <c r="C38">
        <f t="shared" si="0"/>
        <v>5.8871634393587152E-3</v>
      </c>
    </row>
    <row r="39" spans="2:3" x14ac:dyDescent="0.35">
      <c r="B39">
        <v>34</v>
      </c>
      <c r="C39">
        <f t="shared" si="0"/>
        <v>6.2960537783612758E-3</v>
      </c>
    </row>
    <row r="40" spans="2:3" x14ac:dyDescent="0.35">
      <c r="B40">
        <v>35</v>
      </c>
      <c r="C40">
        <f t="shared" si="0"/>
        <v>6.7194459107480274E-3</v>
      </c>
    </row>
    <row r="41" spans="2:3" x14ac:dyDescent="0.35">
      <c r="B41">
        <v>36</v>
      </c>
      <c r="C41">
        <f t="shared" si="0"/>
        <v>7.1565085281292589E-3</v>
      </c>
    </row>
    <row r="42" spans="2:3" x14ac:dyDescent="0.35">
      <c r="B42">
        <v>37</v>
      </c>
      <c r="C42">
        <f t="shared" si="0"/>
        <v>7.6062679642562303E-3</v>
      </c>
    </row>
    <row r="43" spans="2:3" x14ac:dyDescent="0.35">
      <c r="B43">
        <v>38</v>
      </c>
      <c r="C43">
        <f t="shared" si="0"/>
        <v>8.0676072347557991E-3</v>
      </c>
    </row>
    <row r="44" spans="2:3" x14ac:dyDescent="0.35">
      <c r="B44">
        <v>39</v>
      </c>
      <c r="C44">
        <f t="shared" si="0"/>
        <v>8.5392665399931823E-3</v>
      </c>
    </row>
    <row r="45" spans="2:3" x14ac:dyDescent="0.35">
      <c r="B45">
        <v>40</v>
      </c>
      <c r="C45">
        <f t="shared" si="0"/>
        <v>9.019845316503872E-3</v>
      </c>
    </row>
    <row r="46" spans="2:3" x14ac:dyDescent="0.35">
      <c r="B46">
        <v>41</v>
      </c>
      <c r="C46">
        <f t="shared" si="0"/>
        <v>9.5078059046841898E-3</v>
      </c>
    </row>
    <row r="47" spans="2:3" x14ac:dyDescent="0.35">
      <c r="B47">
        <v>42</v>
      </c>
      <c r="C47">
        <f t="shared" si="0"/>
        <v>1.0001478880454124E-2</v>
      </c>
    </row>
    <row r="48" spans="2:3" x14ac:dyDescent="0.35">
      <c r="B48">
        <v>43</v>
      </c>
      <c r="C48">
        <f t="shared" si="0"/>
        <v>1.0499070076655157E-2</v>
      </c>
    </row>
    <row r="49" spans="2:3" x14ac:dyDescent="0.35">
      <c r="B49">
        <v>44</v>
      </c>
      <c r="C49">
        <f t="shared" si="0"/>
        <v>1.0998669296324698E-2</v>
      </c>
    </row>
    <row r="50" spans="2:3" x14ac:dyDescent="0.35">
      <c r="B50">
        <v>45</v>
      </c>
      <c r="C50">
        <f t="shared" si="0"/>
        <v>1.1498260695055275E-2</v>
      </c>
    </row>
    <row r="51" spans="2:3" x14ac:dyDescent="0.35">
      <c r="B51">
        <v>46</v>
      </c>
      <c r="C51">
        <f t="shared" si="0"/>
        <v>1.199573478380591E-2</v>
      </c>
    </row>
    <row r="52" spans="2:3" x14ac:dyDescent="0.35">
      <c r="B52">
        <v>47</v>
      </c>
      <c r="C52">
        <f t="shared" si="0"/>
        <v>1.2488901977229528E-2</v>
      </c>
    </row>
    <row r="53" spans="2:3" x14ac:dyDescent="0.35">
      <c r="B53">
        <v>48</v>
      </c>
      <c r="C53">
        <f t="shared" si="0"/>
        <v>1.2975507586291136E-2</v>
      </c>
    </row>
    <row r="54" spans="2:3" x14ac:dyDescent="0.35">
      <c r="B54">
        <v>49</v>
      </c>
      <c r="C54">
        <f t="shared" si="0"/>
        <v>1.3453248128175525E-2</v>
      </c>
    </row>
    <row r="55" spans="2:3" x14ac:dyDescent="0.35">
      <c r="B55">
        <v>50</v>
      </c>
      <c r="C55">
        <f t="shared" si="0"/>
        <v>1.3919788801731831E-2</v>
      </c>
    </row>
    <row r="56" spans="2:3" x14ac:dyDescent="0.35">
      <c r="B56">
        <v>51</v>
      </c>
      <c r="C56">
        <f t="shared" si="0"/>
        <v>1.4372781953486536E-2</v>
      </c>
    </row>
    <row r="57" spans="2:3" x14ac:dyDescent="0.35">
      <c r="B57">
        <v>52</v>
      </c>
      <c r="C57">
        <f t="shared" si="0"/>
        <v>1.4809886338076823E-2</v>
      </c>
    </row>
    <row r="58" spans="2:3" x14ac:dyDescent="0.35">
      <c r="B58">
        <v>53</v>
      </c>
      <c r="C58">
        <f t="shared" si="0"/>
        <v>1.5228786958289546E-2</v>
      </c>
    </row>
    <row r="59" spans="2:3" x14ac:dyDescent="0.35">
      <c r="B59">
        <v>54</v>
      </c>
      <c r="C59">
        <f t="shared" si="0"/>
        <v>1.5627215254179316E-2</v>
      </c>
    </row>
    <row r="60" spans="2:3" x14ac:dyDescent="0.35">
      <c r="B60">
        <v>55</v>
      </c>
      <c r="C60">
        <f t="shared" si="0"/>
        <v>1.600296939837725E-2</v>
      </c>
    </row>
    <row r="61" spans="2:3" x14ac:dyDescent="0.35">
      <c r="B61">
        <v>56</v>
      </c>
      <c r="C61">
        <f t="shared" si="0"/>
        <v>1.6353934446028333E-2</v>
      </c>
    </row>
    <row r="62" spans="2:3" x14ac:dyDescent="0.35">
      <c r="B62">
        <v>57</v>
      </c>
      <c r="C62">
        <f t="shared" si="0"/>
        <v>1.6678102083080553E-2</v>
      </c>
    </row>
    <row r="63" spans="2:3" x14ac:dyDescent="0.35">
      <c r="B63">
        <v>58</v>
      </c>
      <c r="C63">
        <f t="shared" si="0"/>
        <v>1.6973589716089945E-2</v>
      </c>
    </row>
    <row r="64" spans="2:3" x14ac:dyDescent="0.35">
      <c r="B64">
        <v>59</v>
      </c>
      <c r="C64">
        <f t="shared" si="0"/>
        <v>1.7238658650416291E-2</v>
      </c>
    </row>
    <row r="65" spans="2:3" x14ac:dyDescent="0.35">
      <c r="B65">
        <v>60</v>
      </c>
      <c r="C65">
        <f t="shared" si="0"/>
        <v>1.7471731111693589E-2</v>
      </c>
    </row>
    <row r="66" spans="2:3" x14ac:dyDescent="0.35">
      <c r="B66">
        <v>61</v>
      </c>
      <c r="C66">
        <f t="shared" si="0"/>
        <v>1.7671405877706711E-2</v>
      </c>
    </row>
    <row r="67" spans="2:3" x14ac:dyDescent="0.35">
      <c r="B67">
        <v>62</v>
      </c>
      <c r="C67">
        <f t="shared" si="0"/>
        <v>1.7836472304141201E-2</v>
      </c>
    </row>
    <row r="68" spans="2:3" x14ac:dyDescent="0.35">
      <c r="B68">
        <v>63</v>
      </c>
      <c r="C68">
        <f t="shared" si="0"/>
        <v>1.7965922547860197E-2</v>
      </c>
    </row>
    <row r="69" spans="2:3" x14ac:dyDescent="0.35">
      <c r="B69">
        <v>64</v>
      </c>
      <c r="C69">
        <f t="shared" si="0"/>
        <v>1.8058961815079169E-2</v>
      </c>
    </row>
    <row r="70" spans="2:3" x14ac:dyDescent="0.35">
      <c r="B70">
        <v>65</v>
      </c>
      <c r="C70">
        <f t="shared" si="0"/>
        <v>1.8115016488658535E-2</v>
      </c>
    </row>
    <row r="71" spans="2:3" x14ac:dyDescent="0.35">
      <c r="B71">
        <v>66</v>
      </c>
      <c r="C71">
        <f t="shared" ref="C71:C134" si="1">_xlfn.NORM.DIST(B71,$B$1,$B$2, FALSE)</f>
        <v>1.8133740018246941E-2</v>
      </c>
    </row>
    <row r="72" spans="2:3" x14ac:dyDescent="0.35">
      <c r="B72">
        <v>67</v>
      </c>
      <c r="C72">
        <f t="shared" si="1"/>
        <v>1.8115016488658535E-2</v>
      </c>
    </row>
    <row r="73" spans="2:3" x14ac:dyDescent="0.35">
      <c r="B73">
        <v>68</v>
      </c>
      <c r="C73">
        <f t="shared" si="1"/>
        <v>1.8058961815079169E-2</v>
      </c>
    </row>
    <row r="74" spans="2:3" x14ac:dyDescent="0.35">
      <c r="B74">
        <v>69</v>
      </c>
      <c r="C74">
        <f t="shared" si="1"/>
        <v>1.7965922547860197E-2</v>
      </c>
    </row>
    <row r="75" spans="2:3" x14ac:dyDescent="0.35">
      <c r="B75">
        <v>70</v>
      </c>
      <c r="C75">
        <f t="shared" si="1"/>
        <v>1.7836472304141201E-2</v>
      </c>
    </row>
    <row r="76" spans="2:3" x14ac:dyDescent="0.35">
      <c r="B76">
        <v>71</v>
      </c>
      <c r="C76">
        <f t="shared" si="1"/>
        <v>1.7671405877706711E-2</v>
      </c>
    </row>
    <row r="77" spans="2:3" x14ac:dyDescent="0.35">
      <c r="B77">
        <v>72</v>
      </c>
      <c r="C77">
        <f t="shared" si="1"/>
        <v>1.7471731111693589E-2</v>
      </c>
    </row>
    <row r="78" spans="2:3" x14ac:dyDescent="0.35">
      <c r="B78">
        <v>73</v>
      </c>
      <c r="C78">
        <f t="shared" si="1"/>
        <v>1.7238658650416291E-2</v>
      </c>
    </row>
    <row r="79" spans="2:3" x14ac:dyDescent="0.35">
      <c r="B79">
        <v>74</v>
      </c>
      <c r="C79">
        <f t="shared" si="1"/>
        <v>1.6973589716089945E-2</v>
      </c>
    </row>
    <row r="80" spans="2:3" x14ac:dyDescent="0.35">
      <c r="B80">
        <v>75</v>
      </c>
      <c r="C80">
        <f t="shared" si="1"/>
        <v>1.6678102083080553E-2</v>
      </c>
    </row>
    <row r="81" spans="2:3" x14ac:dyDescent="0.35">
      <c r="B81">
        <v>76</v>
      </c>
      <c r="C81">
        <f t="shared" si="1"/>
        <v>1.6353934446028333E-2</v>
      </c>
    </row>
    <row r="82" spans="2:3" x14ac:dyDescent="0.35">
      <c r="B82">
        <v>77</v>
      </c>
      <c r="C82">
        <f t="shared" si="1"/>
        <v>1.600296939837725E-2</v>
      </c>
    </row>
    <row r="83" spans="2:3" x14ac:dyDescent="0.35">
      <c r="B83">
        <v>78</v>
      </c>
      <c r="C83">
        <f t="shared" si="1"/>
        <v>1.5627215254179316E-2</v>
      </c>
    </row>
    <row r="84" spans="2:3" x14ac:dyDescent="0.35">
      <c r="B84">
        <v>79</v>
      </c>
      <c r="C84">
        <f t="shared" si="1"/>
        <v>1.5228786958289546E-2</v>
      </c>
    </row>
    <row r="85" spans="2:3" x14ac:dyDescent="0.35">
      <c r="B85">
        <v>80</v>
      </c>
      <c r="C85">
        <f t="shared" si="1"/>
        <v>1.4809886338076823E-2</v>
      </c>
    </row>
    <row r="86" spans="2:3" x14ac:dyDescent="0.35">
      <c r="B86">
        <v>81</v>
      </c>
      <c r="C86">
        <f t="shared" si="1"/>
        <v>1.4372781953486536E-2</v>
      </c>
    </row>
    <row r="87" spans="2:3" x14ac:dyDescent="0.35">
      <c r="B87">
        <v>82</v>
      </c>
      <c r="C87">
        <f t="shared" si="1"/>
        <v>1.3919788801731831E-2</v>
      </c>
    </row>
    <row r="88" spans="2:3" x14ac:dyDescent="0.35">
      <c r="B88">
        <v>83</v>
      </c>
      <c r="C88">
        <f t="shared" si="1"/>
        <v>1.3453248128175525E-2</v>
      </c>
    </row>
    <row r="89" spans="2:3" x14ac:dyDescent="0.35">
      <c r="B89">
        <v>84</v>
      </c>
      <c r="C89">
        <f t="shared" si="1"/>
        <v>1.2975507586291136E-2</v>
      </c>
    </row>
    <row r="90" spans="2:3" x14ac:dyDescent="0.35">
      <c r="B90">
        <v>85</v>
      </c>
      <c r="C90">
        <f t="shared" si="1"/>
        <v>1.2488901977229528E-2</v>
      </c>
    </row>
    <row r="91" spans="2:3" x14ac:dyDescent="0.35">
      <c r="B91">
        <v>86</v>
      </c>
      <c r="C91">
        <f t="shared" si="1"/>
        <v>1.199573478380591E-2</v>
      </c>
    </row>
    <row r="92" spans="2:3" x14ac:dyDescent="0.35">
      <c r="B92">
        <v>87</v>
      </c>
      <c r="C92">
        <f t="shared" si="1"/>
        <v>1.1498260695055275E-2</v>
      </c>
    </row>
    <row r="93" spans="2:3" x14ac:dyDescent="0.35">
      <c r="B93">
        <v>88</v>
      </c>
      <c r="C93">
        <f t="shared" si="1"/>
        <v>1.0998669296324698E-2</v>
      </c>
    </row>
    <row r="94" spans="2:3" x14ac:dyDescent="0.35">
      <c r="B94">
        <v>89</v>
      </c>
      <c r="C94">
        <f t="shared" si="1"/>
        <v>1.0499070076655157E-2</v>
      </c>
    </row>
    <row r="95" spans="2:3" x14ac:dyDescent="0.35">
      <c r="B95">
        <v>90</v>
      </c>
      <c r="C95">
        <f t="shared" si="1"/>
        <v>1.0001478880454124E-2</v>
      </c>
    </row>
    <row r="96" spans="2:3" x14ac:dyDescent="0.35">
      <c r="B96">
        <v>91</v>
      </c>
      <c r="C96">
        <f t="shared" si="1"/>
        <v>9.5078059046841898E-3</v>
      </c>
    </row>
    <row r="97" spans="2:3" x14ac:dyDescent="0.35">
      <c r="B97">
        <v>92</v>
      </c>
      <c r="C97">
        <f t="shared" si="1"/>
        <v>9.019845316503872E-3</v>
      </c>
    </row>
    <row r="98" spans="2:3" x14ac:dyDescent="0.35">
      <c r="B98">
        <v>93</v>
      </c>
      <c r="C98">
        <f t="shared" si="1"/>
        <v>8.5392665399931823E-3</v>
      </c>
    </row>
    <row r="99" spans="2:3" x14ac:dyDescent="0.35">
      <c r="B99">
        <v>94</v>
      </c>
      <c r="C99">
        <f t="shared" si="1"/>
        <v>8.0676072347557991E-3</v>
      </c>
    </row>
    <row r="100" spans="2:3" x14ac:dyDescent="0.35">
      <c r="B100">
        <v>95</v>
      </c>
      <c r="C100">
        <f t="shared" si="1"/>
        <v>7.6062679642562303E-3</v>
      </c>
    </row>
    <row r="101" spans="2:3" x14ac:dyDescent="0.35">
      <c r="B101">
        <v>96</v>
      </c>
      <c r="C101">
        <f t="shared" si="1"/>
        <v>7.1565085281292589E-3</v>
      </c>
    </row>
    <row r="102" spans="2:3" x14ac:dyDescent="0.35">
      <c r="B102">
        <v>97</v>
      </c>
      <c r="C102">
        <f t="shared" si="1"/>
        <v>6.7194459107480274E-3</v>
      </c>
    </row>
    <row r="103" spans="2:3" x14ac:dyDescent="0.35">
      <c r="B103">
        <v>98</v>
      </c>
      <c r="C103">
        <f t="shared" si="1"/>
        <v>6.2960537783612758E-3</v>
      </c>
    </row>
    <row r="104" spans="2:3" x14ac:dyDescent="0.35">
      <c r="B104">
        <v>99</v>
      </c>
      <c r="C104">
        <f t="shared" si="1"/>
        <v>5.8871634393587152E-3</v>
      </c>
    </row>
    <row r="105" spans="2:3" x14ac:dyDescent="0.35">
      <c r="B105">
        <v>100</v>
      </c>
      <c r="C105">
        <f t="shared" si="1"/>
        <v>5.4934661668863153E-3</v>
      </c>
    </row>
    <row r="106" spans="2:3" x14ac:dyDescent="0.35">
      <c r="B106">
        <v>101</v>
      </c>
      <c r="C106">
        <f t="shared" si="1"/>
        <v>5.1155167702412003E-3</v>
      </c>
    </row>
    <row r="107" spans="2:3" x14ac:dyDescent="0.35">
      <c r="B107">
        <v>102</v>
      </c>
      <c r="C107">
        <f t="shared" si="1"/>
        <v>4.7537382913009612E-3</v>
      </c>
    </row>
    <row r="108" spans="2:3" x14ac:dyDescent="0.35">
      <c r="B108">
        <v>103</v>
      </c>
      <c r="C108">
        <f t="shared" si="1"/>
        <v>4.4084276946996619E-3</v>
      </c>
    </row>
    <row r="109" spans="2:3" x14ac:dyDescent="0.35">
      <c r="B109">
        <v>104</v>
      </c>
      <c r="C109">
        <f t="shared" si="1"/>
        <v>4.0797624155147396E-3</v>
      </c>
    </row>
    <row r="110" spans="2:3" x14ac:dyDescent="0.35">
      <c r="B110">
        <v>105</v>
      </c>
      <c r="C110">
        <f t="shared" si="1"/>
        <v>3.7678076257880292E-3</v>
      </c>
    </row>
    <row r="111" spans="2:3" x14ac:dyDescent="0.35">
      <c r="B111">
        <v>106</v>
      </c>
      <c r="C111">
        <f t="shared" si="1"/>
        <v>3.472524081139398E-3</v>
      </c>
    </row>
    <row r="112" spans="2:3" x14ac:dyDescent="0.35">
      <c r="B112">
        <v>107</v>
      </c>
      <c r="C112">
        <f t="shared" si="1"/>
        <v>3.1937764108739696E-3</v>
      </c>
    </row>
    <row r="113" spans="2:3" x14ac:dyDescent="0.35">
      <c r="B113">
        <v>108</v>
      </c>
      <c r="C113">
        <f t="shared" si="1"/>
        <v>2.9313417191333085E-3</v>
      </c>
    </row>
    <row r="114" spans="2:3" x14ac:dyDescent="0.35">
      <c r="B114">
        <v>109</v>
      </c>
      <c r="C114">
        <f t="shared" si="1"/>
        <v>2.6849183705717965E-3</v>
      </c>
    </row>
    <row r="115" spans="2:3" x14ac:dyDescent="0.35">
      <c r="B115">
        <v>110</v>
      </c>
      <c r="C115">
        <f t="shared" si="1"/>
        <v>2.4541348415085484E-3</v>
      </c>
    </row>
    <row r="116" spans="2:3" x14ac:dyDescent="0.35">
      <c r="B116">
        <v>111</v>
      </c>
      <c r="C116">
        <f t="shared" si="1"/>
        <v>2.2385585262578939E-3</v>
      </c>
    </row>
    <row r="117" spans="2:3" x14ac:dyDescent="0.35">
      <c r="B117">
        <v>112</v>
      </c>
      <c r="C117">
        <f t="shared" si="1"/>
        <v>2.0377043981178516E-3</v>
      </c>
    </row>
    <row r="118" spans="2:3" x14ac:dyDescent="0.35">
      <c r="B118">
        <v>113</v>
      </c>
      <c r="C118">
        <f t="shared" si="1"/>
        <v>1.8510434350378618E-3</v>
      </c>
    </row>
    <row r="119" spans="2:3" x14ac:dyDescent="0.35">
      <c r="B119">
        <v>114</v>
      </c>
      <c r="C119">
        <f t="shared" si="1"/>
        <v>1.6780107310422098E-3</v>
      </c>
    </row>
    <row r="120" spans="2:3" x14ac:dyDescent="0.35">
      <c r="B120">
        <v>115</v>
      </c>
      <c r="C120">
        <f t="shared" si="1"/>
        <v>1.5180132258136594E-3</v>
      </c>
    </row>
    <row r="121" spans="2:3" x14ac:dyDescent="0.35">
      <c r="B121">
        <v>116</v>
      </c>
      <c r="C121">
        <f t="shared" si="1"/>
        <v>1.3704369962182108E-3</v>
      </c>
    </row>
    <row r="122" spans="2:3" x14ac:dyDescent="0.35">
      <c r="B122">
        <v>117</v>
      </c>
      <c r="C122">
        <f t="shared" si="1"/>
        <v>1.2346540647709828E-3</v>
      </c>
    </row>
    <row r="123" spans="2:3" x14ac:dyDescent="0.35">
      <c r="B123">
        <v>118</v>
      </c>
      <c r="C123">
        <f t="shared" si="1"/>
        <v>1.1100286909213419E-3</v>
      </c>
    </row>
    <row r="124" spans="2:3" x14ac:dyDescent="0.35">
      <c r="B124">
        <v>119</v>
      </c>
      <c r="C124">
        <f t="shared" si="1"/>
        <v>9.9592312141289743E-4</v>
      </c>
    </row>
    <row r="125" spans="2:3" x14ac:dyDescent="0.35">
      <c r="B125">
        <v>120</v>
      </c>
      <c r="C125">
        <f t="shared" si="1"/>
        <v>8.9170278571579123E-4</v>
      </c>
    </row>
    <row r="126" spans="2:3" x14ac:dyDescent="0.35">
      <c r="B126">
        <v>121</v>
      </c>
      <c r="C126">
        <f t="shared" si="1"/>
        <v>7.9674093152584267E-4</v>
      </c>
    </row>
    <row r="127" spans="2:3" x14ac:dyDescent="0.35">
      <c r="B127">
        <v>122</v>
      </c>
      <c r="C127">
        <f t="shared" si="1"/>
        <v>7.1042270349343684E-4</v>
      </c>
    </row>
    <row r="128" spans="2:3" x14ac:dyDescent="0.35">
      <c r="B128">
        <v>123</v>
      </c>
      <c r="C128">
        <f t="shared" si="1"/>
        <v>6.3214867562545025E-4</v>
      </c>
    </row>
    <row r="129" spans="2:3" x14ac:dyDescent="0.35">
      <c r="B129">
        <v>124</v>
      </c>
      <c r="C129">
        <f t="shared" si="1"/>
        <v>5.6133785416005082E-4</v>
      </c>
    </row>
    <row r="130" spans="2:3" x14ac:dyDescent="0.35">
      <c r="B130">
        <v>125</v>
      </c>
      <c r="C130">
        <f t="shared" si="1"/>
        <v>4.9743017313283271E-4</v>
      </c>
    </row>
    <row r="131" spans="2:3" x14ac:dyDescent="0.35">
      <c r="B131">
        <v>126</v>
      </c>
      <c r="C131">
        <f t="shared" si="1"/>
        <v>4.3988850933909129E-4</v>
      </c>
    </row>
    <row r="132" spans="2:3" x14ac:dyDescent="0.35">
      <c r="B132">
        <v>127</v>
      </c>
      <c r="C132">
        <f t="shared" si="1"/>
        <v>3.8820024697430256E-4</v>
      </c>
    </row>
    <row r="133" spans="2:3" x14ac:dyDescent="0.35">
      <c r="B133">
        <v>128</v>
      </c>
      <c r="C133">
        <f t="shared" si="1"/>
        <v>3.4187842494133271E-4</v>
      </c>
    </row>
    <row r="134" spans="2:3" x14ac:dyDescent="0.35">
      <c r="B134">
        <v>129</v>
      </c>
      <c r="C134">
        <f t="shared" si="1"/>
        <v>3.0046250169949308E-4</v>
      </c>
    </row>
    <row r="135" spans="2:3" x14ac:dyDescent="0.35">
      <c r="B135">
        <v>130</v>
      </c>
      <c r="C135">
        <f t="shared" ref="C135:C155" si="2">_xlfn.NORM.DIST(B135,$B$1,$B$2, FALSE)</f>
        <v>2.635187736583194E-4</v>
      </c>
    </row>
    <row r="136" spans="2:3" x14ac:dyDescent="0.35">
      <c r="B136">
        <v>131</v>
      </c>
      <c r="C136">
        <f t="shared" si="2"/>
        <v>2.3064048355653355E-4</v>
      </c>
    </row>
    <row r="137" spans="2:3" x14ac:dyDescent="0.35">
      <c r="B137">
        <v>132</v>
      </c>
      <c r="C137">
        <f t="shared" si="2"/>
        <v>2.0144765508809127E-4</v>
      </c>
    </row>
    <row r="138" spans="2:3" x14ac:dyDescent="0.35">
      <c r="B138">
        <v>133</v>
      </c>
      <c r="C138">
        <f t="shared" si="2"/>
        <v>1.75586689319543E-4</v>
      </c>
    </row>
    <row r="139" spans="2:3" x14ac:dyDescent="0.35">
      <c r="B139">
        <v>134</v>
      </c>
      <c r="C139">
        <f t="shared" si="2"/>
        <v>1.5272975726437259E-4</v>
      </c>
    </row>
    <row r="140" spans="2:3" x14ac:dyDescent="0.35">
      <c r="B140">
        <v>135</v>
      </c>
      <c r="C140">
        <f t="shared" si="2"/>
        <v>1.32574021417957E-4</v>
      </c>
    </row>
    <row r="141" spans="2:3" x14ac:dyDescent="0.35">
      <c r="B141">
        <v>136</v>
      </c>
      <c r="C141">
        <f t="shared" si="2"/>
        <v>1.1484071718654247E-4</v>
      </c>
    </row>
    <row r="142" spans="2:3" x14ac:dyDescent="0.35">
      <c r="B142">
        <v>137</v>
      </c>
      <c r="C142">
        <f t="shared" si="2"/>
        <v>9.9274123036796719E-5</v>
      </c>
    </row>
    <row r="143" spans="2:3" x14ac:dyDescent="0.35">
      <c r="B143">
        <v>138</v>
      </c>
      <c r="C143">
        <f t="shared" si="2"/>
        <v>8.5640445916082352E-5</v>
      </c>
    </row>
    <row r="144" spans="2:3" x14ac:dyDescent="0.35">
      <c r="B144">
        <v>139</v>
      </c>
      <c r="C144">
        <f t="shared" si="2"/>
        <v>7.3726646109166839E-5</v>
      </c>
    </row>
    <row r="145" spans="2:3" x14ac:dyDescent="0.35">
      <c r="B145">
        <v>140</v>
      </c>
      <c r="C145">
        <f t="shared" si="2"/>
        <v>6.3339223260158202E-5</v>
      </c>
    </row>
    <row r="146" spans="2:3" x14ac:dyDescent="0.35">
      <c r="B146">
        <v>141</v>
      </c>
      <c r="C146">
        <f t="shared" si="2"/>
        <v>5.4302982848162255E-5</v>
      </c>
    </row>
    <row r="147" spans="2:3" x14ac:dyDescent="0.35">
      <c r="B147">
        <v>142</v>
      </c>
      <c r="C147">
        <f t="shared" si="2"/>
        <v>4.6459800004007684E-5</v>
      </c>
    </row>
    <row r="148" spans="2:3" x14ac:dyDescent="0.35">
      <c r="B148">
        <v>143</v>
      </c>
      <c r="C148">
        <f t="shared" si="2"/>
        <v>3.9667395229352736E-5</v>
      </c>
    </row>
    <row r="149" spans="2:3" x14ac:dyDescent="0.35">
      <c r="B149">
        <v>144</v>
      </c>
      <c r="C149">
        <f t="shared" si="2"/>
        <v>3.3798134358081875E-5</v>
      </c>
    </row>
    <row r="150" spans="2:3" x14ac:dyDescent="0.35">
      <c r="B150">
        <v>145</v>
      </c>
      <c r="C150">
        <f t="shared" si="2"/>
        <v>2.8737863006495882E-5</v>
      </c>
    </row>
    <row r="151" spans="2:3" x14ac:dyDescent="0.35">
      <c r="B151">
        <v>146</v>
      </c>
      <c r="C151">
        <f t="shared" si="2"/>
        <v>2.4384783810995172E-5</v>
      </c>
    </row>
    <row r="152" spans="2:3" x14ac:dyDescent="0.35">
      <c r="B152">
        <v>147</v>
      </c>
      <c r="C152">
        <f t="shared" si="2"/>
        <v>2.06483829620384E-5</v>
      </c>
    </row>
    <row r="153" spans="2:3" x14ac:dyDescent="0.35">
      <c r="B153">
        <v>148</v>
      </c>
      <c r="C153">
        <f t="shared" si="2"/>
        <v>1.7448410918611227E-5</v>
      </c>
    </row>
    <row r="154" spans="2:3" x14ac:dyDescent="0.35">
      <c r="B154">
        <v>149</v>
      </c>
      <c r="C154">
        <f t="shared" si="2"/>
        <v>1.4713920731497936E-5</v>
      </c>
    </row>
    <row r="155" spans="2:3" x14ac:dyDescent="0.35">
      <c r="B155">
        <v>150</v>
      </c>
      <c r="C155">
        <f t="shared" si="2"/>
        <v>1.238236611585789E-5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E534-0836-4570-B748-4BBDD50C166A}">
  <dimension ref="A3:B12"/>
  <sheetViews>
    <sheetView workbookViewId="0">
      <selection activeCell="P19" sqref="P19"/>
    </sheetView>
  </sheetViews>
  <sheetFormatPr defaultRowHeight="14.5" x14ac:dyDescent="0.35"/>
  <cols>
    <col min="1" max="1" width="12.36328125" bestFit="1" customWidth="1"/>
    <col min="2" max="2" width="11.90625" bestFit="1" customWidth="1"/>
    <col min="3" max="4" width="1.90625" bestFit="1" customWidth="1"/>
    <col min="5" max="5" width="2.08984375" bestFit="1" customWidth="1"/>
    <col min="6" max="6" width="1.81640625" bestFit="1" customWidth="1"/>
    <col min="7" max="7" width="1.7265625" bestFit="1" customWidth="1"/>
    <col min="8" max="8" width="10.7265625" bestFit="1" customWidth="1"/>
  </cols>
  <sheetData>
    <row r="3" spans="1:2" x14ac:dyDescent="0.35">
      <c r="A3" s="5" t="s">
        <v>21</v>
      </c>
      <c r="B3" t="s">
        <v>29</v>
      </c>
    </row>
    <row r="4" spans="1:2" x14ac:dyDescent="0.35">
      <c r="A4" s="7" t="s">
        <v>23</v>
      </c>
      <c r="B4" s="6">
        <v>1</v>
      </c>
    </row>
    <row r="5" spans="1:2" x14ac:dyDescent="0.35">
      <c r="A5" s="7" t="s">
        <v>24</v>
      </c>
      <c r="B5" s="6">
        <v>9</v>
      </c>
    </row>
    <row r="6" spans="1:2" x14ac:dyDescent="0.35">
      <c r="A6" s="7" t="s">
        <v>25</v>
      </c>
      <c r="B6" s="6">
        <v>10</v>
      </c>
    </row>
    <row r="7" spans="1:2" x14ac:dyDescent="0.35">
      <c r="A7" s="7" t="s">
        <v>26</v>
      </c>
      <c r="B7" s="6">
        <v>3</v>
      </c>
    </row>
    <row r="8" spans="1:2" x14ac:dyDescent="0.35">
      <c r="A8" s="7" t="s">
        <v>27</v>
      </c>
      <c r="B8" s="6">
        <v>5</v>
      </c>
    </row>
    <row r="9" spans="1:2" x14ac:dyDescent="0.35">
      <c r="A9" s="7" t="s">
        <v>28</v>
      </c>
      <c r="B9" s="6">
        <v>4</v>
      </c>
    </row>
    <row r="10" spans="1:2" x14ac:dyDescent="0.35">
      <c r="A10" s="7" t="s">
        <v>31</v>
      </c>
      <c r="B10" s="6">
        <v>160</v>
      </c>
    </row>
    <row r="11" spans="1:2" x14ac:dyDescent="0.35">
      <c r="A11" s="7" t="s">
        <v>30</v>
      </c>
      <c r="B11" s="6">
        <v>1</v>
      </c>
    </row>
    <row r="12" spans="1:2" x14ac:dyDescent="0.35">
      <c r="A12" s="7" t="s">
        <v>22</v>
      </c>
      <c r="B12" s="6">
        <v>193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7F7F-2764-46AA-96FD-9D3418EA584E}">
  <dimension ref="A2:B11"/>
  <sheetViews>
    <sheetView workbookViewId="0">
      <selection activeCell="G1" sqref="G1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2" spans="1:2" x14ac:dyDescent="0.35">
      <c r="A2" s="5" t="s">
        <v>21</v>
      </c>
      <c r="B2" t="s">
        <v>32</v>
      </c>
    </row>
    <row r="3" spans="1:2" x14ac:dyDescent="0.35">
      <c r="A3" s="7" t="s">
        <v>23</v>
      </c>
      <c r="B3" s="6">
        <v>95</v>
      </c>
    </row>
    <row r="4" spans="1:2" x14ac:dyDescent="0.35">
      <c r="A4" s="7" t="s">
        <v>24</v>
      </c>
      <c r="B4" s="6">
        <v>86.111111111111114</v>
      </c>
    </row>
    <row r="5" spans="1:2" x14ac:dyDescent="0.35">
      <c r="A5" s="7" t="s">
        <v>25</v>
      </c>
      <c r="B5" s="6">
        <v>73.400000000000006</v>
      </c>
    </row>
    <row r="6" spans="1:2" x14ac:dyDescent="0.35">
      <c r="A6" s="7" t="s">
        <v>26</v>
      </c>
      <c r="B6" s="6">
        <v>58</v>
      </c>
    </row>
    <row r="7" spans="1:2" x14ac:dyDescent="0.35">
      <c r="A7" s="7" t="s">
        <v>27</v>
      </c>
      <c r="B7" s="6">
        <v>45.2</v>
      </c>
    </row>
    <row r="8" spans="1:2" x14ac:dyDescent="0.35">
      <c r="A8" s="7" t="s">
        <v>28</v>
      </c>
      <c r="B8" s="6">
        <v>24.25</v>
      </c>
    </row>
    <row r="9" spans="1:2" x14ac:dyDescent="0.35">
      <c r="A9" s="7" t="s">
        <v>31</v>
      </c>
      <c r="B9" s="6">
        <v>0</v>
      </c>
    </row>
    <row r="10" spans="1:2" x14ac:dyDescent="0.35">
      <c r="A10" s="7" t="s">
        <v>30</v>
      </c>
      <c r="B10" s="6" t="e">
        <v>#DIV/0!</v>
      </c>
    </row>
    <row r="11" spans="1:2" x14ac:dyDescent="0.35">
      <c r="A11" s="7" t="s">
        <v>22</v>
      </c>
      <c r="B11" s="6">
        <v>10.942708333333334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Sheet3</vt:lpstr>
      <vt:lpstr>Questions_grades</vt:lpstr>
      <vt:lpstr>CORR</vt:lpstr>
      <vt:lpstr>GRADES</vt:lpstr>
      <vt:lpstr>BELL CURVE</vt:lpstr>
      <vt:lpstr>COUNT</vt:lpstr>
      <vt:lpstr>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Mattia Alessandro Edoardo Giorgio David</dc:creator>
  <cp:lastModifiedBy>Alessandro Di Mattia</cp:lastModifiedBy>
  <dcterms:created xsi:type="dcterms:W3CDTF">2015-06-05T18:17:20Z</dcterms:created>
  <dcterms:modified xsi:type="dcterms:W3CDTF">2021-12-29T13:46:16Z</dcterms:modified>
</cp:coreProperties>
</file>