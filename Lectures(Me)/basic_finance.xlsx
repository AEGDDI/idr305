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himolde-my.sharepoint.com/personal/aldi_himolde_no/Documents/Dokumenter/Teaching/Introduction to Economics for Sport Management (IDR305)/Lectures(Me)/"/>
    </mc:Choice>
  </mc:AlternateContent>
  <xr:revisionPtr revIDLastSave="59" documentId="8_{DAC18BB6-7D62-48F1-881A-1222CA1C360B}" xr6:coauthVersionLast="45" xr6:coauthVersionMax="47" xr10:uidLastSave="{25937E0B-A694-4078-A721-DE3E676C644E}"/>
  <bookViews>
    <workbookView xWindow="-120" yWindow="-120" windowWidth="29040" windowHeight="15840" activeTab="3" xr2:uid="{D8D4A5B6-F859-4DD7-86C3-05EC2355D223}"/>
  </bookViews>
  <sheets>
    <sheet name="Theory" sheetId="1" r:id="rId1"/>
    <sheet name="Ex.1 (PV)" sheetId="2" r:id="rId2"/>
    <sheet name="Ex.2 (FV)" sheetId="3" r:id="rId3"/>
    <sheet name="Ex.3" sheetId="4" r:id="rId4"/>
    <sheet name="Ex.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4" l="1"/>
  <c r="I20" i="4"/>
  <c r="H20" i="4"/>
  <c r="F11" i="5" l="1"/>
  <c r="F13" i="5" s="1"/>
  <c r="G20" i="4"/>
  <c r="H15" i="4"/>
  <c r="G15" i="4"/>
  <c r="H10" i="4"/>
  <c r="G10" i="4"/>
  <c r="C27" i="4" s="1"/>
  <c r="D27" i="4" s="1"/>
  <c r="F52" i="3"/>
  <c r="E52" i="3"/>
  <c r="F43" i="3"/>
  <c r="E43" i="3"/>
  <c r="E36" i="3"/>
  <c r="E27" i="3"/>
  <c r="E31" i="3"/>
  <c r="F36" i="3"/>
  <c r="F31" i="3"/>
  <c r="F27" i="3"/>
  <c r="A10" i="1"/>
  <c r="F20" i="2"/>
  <c r="E20" i="2"/>
  <c r="F14" i="2"/>
  <c r="E14" i="2"/>
  <c r="F10" i="2"/>
  <c r="E10" i="2"/>
  <c r="A8" i="1"/>
  <c r="A9" i="1" l="1"/>
  <c r="B11" i="1" s="1"/>
  <c r="A7" i="1"/>
</calcChain>
</file>

<file path=xl/sharedStrings.xml><?xml version="1.0" encoding="utf-8"?>
<sst xmlns="http://schemas.openxmlformats.org/spreadsheetml/2006/main" count="96" uniqueCount="41">
  <si>
    <t>DATA</t>
  </si>
  <si>
    <t>Description</t>
  </si>
  <si>
    <t>money I receive today (PV)</t>
  </si>
  <si>
    <t>interest rate (r)</t>
  </si>
  <si>
    <t>future earnings (FV)</t>
  </si>
  <si>
    <t>Formula</t>
  </si>
  <si>
    <t>present value that I have to pay today in order to have €2.200 in a year</t>
  </si>
  <si>
    <t>future value of today's money €2.200</t>
  </si>
  <si>
    <t>Question</t>
  </si>
  <si>
    <t>a)</t>
  </si>
  <si>
    <t>Data</t>
  </si>
  <si>
    <t xml:space="preserve">Formula </t>
  </si>
  <si>
    <t>?</t>
  </si>
  <si>
    <t>Plain formula</t>
  </si>
  <si>
    <t>b)</t>
  </si>
  <si>
    <t>c)</t>
  </si>
  <si>
    <t>d)</t>
  </si>
  <si>
    <t>e)</t>
  </si>
  <si>
    <t>money I invest today (PV)</t>
  </si>
  <si>
    <t>investment's years (nper)</t>
  </si>
  <si>
    <t xml:space="preserve">PV = FV/(1+r)^(nper) </t>
  </si>
  <si>
    <t>FV = PV*(1+r)^(nper)</t>
  </si>
  <si>
    <t>opening balance</t>
  </si>
  <si>
    <t>f)</t>
  </si>
  <si>
    <t>g)</t>
  </si>
  <si>
    <t>money</t>
  </si>
  <si>
    <t>year</t>
  </si>
  <si>
    <t>interest rate ( r)</t>
  </si>
  <si>
    <t>case 1</t>
  </si>
  <si>
    <t>FV</t>
  </si>
  <si>
    <t>formula</t>
  </si>
  <si>
    <t>plain formula</t>
  </si>
  <si>
    <t>case 2</t>
  </si>
  <si>
    <t>case 3</t>
  </si>
  <si>
    <t>best option?</t>
  </si>
  <si>
    <t>initial money</t>
  </si>
  <si>
    <t>PV</t>
  </si>
  <si>
    <t>years</t>
  </si>
  <si>
    <t>business's profiits</t>
  </si>
  <si>
    <t>invest into the business?</t>
  </si>
  <si>
    <t>Is buying today the best option?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</si>
</sst>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£&quot;#,##0.00;[Red]\-&quot;£&quot;#,##0.00"/>
    <numFmt numFmtId="44" formatCode="_-&quot;£&quot;* #,##0.00_-;\-&quot;£&quot;* #,##0.00_-;_-&quot;£&quot;* &quot;-&quot;??_-;_-@_-"/>
    <numFmt numFmtId="164" formatCode="_-* #,##0.00\ [$€-410]_-;\-* #,##0.00\ [$€-410]_-;_-* &quot;-&quot;??\ [$€-410]_-;_-@_-"/>
    <numFmt numFmtId="165" formatCode="_-[$€-2]\ * #,##0.00_-;\-[$€-2]\ * #,##0.00_-;_-[$€-2]\ * &quot;-&quot;??_-;_-@_-"/>
    <numFmt numFmtId="166" formatCode="_-[$kr-414]\ * #,##0.00_-;\-[$kr-414]\ * #,##0.00_-;_-[$kr-414]\ * &quot;-&quot;??_-;_-@_-"/>
    <numFmt numFmtId="167" formatCode="&quot;£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9" fontId="0" fillId="0" borderId="0" xfId="2" applyFont="1"/>
    <xf numFmtId="8" fontId="0" fillId="0" borderId="0" xfId="0" applyNumberFormat="1"/>
    <xf numFmtId="165" fontId="0" fillId="0" borderId="0" xfId="0" applyNumberFormat="1"/>
    <xf numFmtId="164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9" fontId="0" fillId="2" borderId="0" xfId="2" applyFont="1" applyFill="1"/>
    <xf numFmtId="0" fontId="0" fillId="0" borderId="0" xfId="0" applyNumberFormat="1"/>
    <xf numFmtId="0" fontId="0" fillId="3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14</xdr:row>
      <xdr:rowOff>28575</xdr:rowOff>
    </xdr:from>
    <xdr:to>
      <xdr:col>1</xdr:col>
      <xdr:colOff>609600</xdr:colOff>
      <xdr:row>17</xdr:row>
      <xdr:rowOff>95250</xdr:rowOff>
    </xdr:to>
    <xdr:pic>
      <xdr:nvPicPr>
        <xdr:cNvPr id="3" name="Picture 2" descr="Equation">
          <a:extLst>
            <a:ext uri="{FF2B5EF4-FFF2-40B4-BE49-F238E27FC236}">
              <a16:creationId xmlns:a16="http://schemas.microsoft.com/office/drawing/2014/main" id="{11FFF2D6-90A1-4931-AF6F-FB33F5A7D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695575"/>
          <a:ext cx="2457450" cy="63817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133350</xdr:rowOff>
    </xdr:from>
    <xdr:to>
      <xdr:col>10</xdr:col>
      <xdr:colOff>496094</xdr:colOff>
      <xdr:row>6</xdr:row>
      <xdr:rowOff>6615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640CEA-1734-4FAD-8CA5-BA7D54837E3D}"/>
            </a:ext>
          </a:extLst>
        </xdr:cNvPr>
        <xdr:cNvSpPr txBox="1"/>
      </xdr:nvSpPr>
      <xdr:spPr>
        <a:xfrm>
          <a:off x="6350" y="133350"/>
          <a:ext cx="7904692" cy="984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lphaLcParenR"/>
          </a:pPr>
          <a:r>
            <a:rPr lang="en-GB" sz="1100"/>
            <a:t>If I receive</a:t>
          </a:r>
          <a:r>
            <a:rPr lang="en-GB" sz="1100" baseline="0"/>
            <a:t> 1000 NOK in </a:t>
          </a:r>
          <a:r>
            <a:rPr lang="en-GB" sz="1100" u="sng" baseline="0"/>
            <a:t>one year </a:t>
          </a:r>
          <a:r>
            <a:rPr lang="en-GB" sz="1100" baseline="0"/>
            <a:t>with an interest rate of </a:t>
          </a:r>
          <a:r>
            <a:rPr lang="en-GB" sz="1100" u="sng" baseline="0"/>
            <a:t>10%</a:t>
          </a:r>
          <a:r>
            <a:rPr lang="en-GB" sz="1100" baseline="0"/>
            <a:t>, what is the present value (PV) of my investment?</a:t>
          </a:r>
          <a:endParaRPr lang="en-GB" sz="1100"/>
        </a:p>
        <a:p>
          <a:pPr marL="228600" indent="-228600">
            <a:buFont typeface="+mj-lt"/>
            <a:buAutoNum type="alphaLcParenR"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I receive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1000 NOK in </a:t>
          </a:r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two year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an interest rate of 10%, what is the present value (PV) of my investment?</a:t>
          </a:r>
          <a:endParaRPr lang="en-GB" sz="1100">
            <a:effectLst/>
          </a:endParaRPr>
        </a:p>
        <a:p>
          <a:pPr marL="228600" indent="-228600">
            <a:buFont typeface="+mj-lt"/>
            <a:buAutoNum type="alphaLcParenR"/>
          </a:pPr>
          <a:r>
            <a:rPr lang="en-GB" sz="1100"/>
            <a:t>What can we</a:t>
          </a:r>
          <a:r>
            <a:rPr lang="en-GB" sz="1100" baseline="0"/>
            <a:t> </a:t>
          </a:r>
          <a:r>
            <a:rPr lang="en-GB" sz="1100"/>
            <a:t>conclude on the relationship between the present value (PV) and the timing of the cash flow?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I receive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1000 NOK in </a:t>
          </a:r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one year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an interest rate of </a:t>
          </a:r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8%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what is the present value (PV) of my investment?</a:t>
          </a:r>
          <a:endParaRPr lang="en-GB" sz="1100"/>
        </a:p>
        <a:p>
          <a:pPr marL="228600" indent="-228600">
            <a:buFont typeface="+mj-lt"/>
            <a:buAutoNum type="alphaLcParenR"/>
          </a:pPr>
          <a:r>
            <a:rPr lang="en-GB" sz="1100"/>
            <a:t>What can we conclude on the relationship between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present value (PV)</a:t>
          </a:r>
          <a:r>
            <a:rPr lang="en-GB" sz="1100"/>
            <a:t> and the interest rate?</a:t>
          </a:r>
        </a:p>
        <a:p>
          <a:endParaRPr lang="en-GB" sz="1100"/>
        </a:p>
      </xdr:txBody>
    </xdr:sp>
    <xdr:clientData/>
  </xdr:twoCellAnchor>
  <xdr:twoCellAnchor>
    <xdr:from>
      <xdr:col>2</xdr:col>
      <xdr:colOff>6350</xdr:colOff>
      <xdr:row>17</xdr:row>
      <xdr:rowOff>12700</xdr:rowOff>
    </xdr:from>
    <xdr:to>
      <xdr:col>9</xdr:col>
      <xdr:colOff>601927</xdr:colOff>
      <xdr:row>18</xdr:row>
      <xdr:rowOff>112448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BF8085-9B65-4D8F-A43D-3A5406E8DA86}"/>
            </a:ext>
          </a:extLst>
        </xdr:cNvPr>
        <xdr:cNvSpPr txBox="1"/>
      </xdr:nvSpPr>
      <xdr:spPr>
        <a:xfrm>
          <a:off x="1223433" y="3161242"/>
          <a:ext cx="6184900" cy="2849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</a:t>
          </a:r>
          <a:r>
            <a:rPr lang="en-GB" sz="1100" baseline="0"/>
            <a:t> further in time is the payment, the lower is the PV. Long run investments are usually better and safer.</a:t>
          </a:r>
          <a:endParaRPr lang="en-GB" sz="1100"/>
        </a:p>
      </xdr:txBody>
    </xdr:sp>
    <xdr:clientData/>
  </xdr:twoCellAnchor>
  <xdr:twoCellAnchor>
    <xdr:from>
      <xdr:col>1</xdr:col>
      <xdr:colOff>608540</xdr:colOff>
      <xdr:row>23</xdr:row>
      <xdr:rowOff>0</xdr:rowOff>
    </xdr:from>
    <xdr:to>
      <xdr:col>12</xdr:col>
      <xdr:colOff>575468</xdr:colOff>
      <xdr:row>24</xdr:row>
      <xdr:rowOff>138906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3EADD9-0B59-4ACF-91E8-00346BAC6B3B}"/>
            </a:ext>
          </a:extLst>
        </xdr:cNvPr>
        <xdr:cNvSpPr txBox="1"/>
      </xdr:nvSpPr>
      <xdr:spPr>
        <a:xfrm>
          <a:off x="1217082" y="4259792"/>
          <a:ext cx="7990417" cy="3241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</a:t>
          </a:r>
          <a:r>
            <a:rPr lang="en-GB" sz="1100" baseline="0"/>
            <a:t> lower is the interest rate (r), the higher is the PV. Investments with higher interest rates are ususally riskier but more profitable.</a:t>
          </a:r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16</xdr:col>
      <xdr:colOff>0</xdr:colOff>
      <xdr:row>11</xdr:row>
      <xdr:rowOff>105833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CE2FBF-19F4-4E10-9932-01FE278FD2C2}"/>
            </a:ext>
          </a:extLst>
        </xdr:cNvPr>
        <xdr:cNvSpPr txBox="1"/>
      </xdr:nvSpPr>
      <xdr:spPr>
        <a:xfrm>
          <a:off x="0" y="1"/>
          <a:ext cx="11230784" cy="21602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lphaLcParenR"/>
          </a:pPr>
          <a:r>
            <a:rPr lang="en-GB" sz="1100"/>
            <a:t>If I have a cash flow of</a:t>
          </a:r>
          <a:r>
            <a:rPr lang="en-GB" sz="1100" baseline="0"/>
            <a:t> 1000 NOK and an interest rate of 10% on my future investment, what is the future value (FV) of my investment </a:t>
          </a:r>
          <a:r>
            <a:rPr lang="en-GB" sz="1100" u="sng" baseline="0"/>
            <a:t>after one year</a:t>
          </a:r>
          <a:r>
            <a:rPr lang="en-GB" sz="1100" baseline="0"/>
            <a:t>?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I have a cash flow of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1000 NOK and an interest rate of 10% on my future investment, what is the future value (FV) of my investment </a:t>
          </a:r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after two years</a:t>
          </a:r>
          <a:r>
            <a:rPr lang="en-GB" sz="110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GB" sz="1100"/>
        </a:p>
        <a:p>
          <a:pPr marL="228600" indent="-228600">
            <a:buFont typeface="+mj-lt"/>
            <a:buAutoNum type="alphaLcParenR"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I have a cash flow of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1000 NOK and an interest rate of 10% on my future investment, what is the future value (FV) of my investment </a:t>
          </a:r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the end </a:t>
          </a:r>
          <a:r>
            <a:rPr lang="en-GB" sz="110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each of  the two years investement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I have a cash flow of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1000 NOK and an interest rate of 10% on my future investment, what is the future value (FV) of my investment </a:t>
          </a:r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the beginning </a:t>
          </a:r>
          <a:r>
            <a:rPr lang="en-GB" sz="110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each of a the two years investement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can we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conclude on the relationship between the future value (FV) and the timing of the cash flow?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I invest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1000 NOK in </a:t>
          </a:r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one year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an interest rate of </a:t>
          </a:r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8%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what is the future value (FV) of my investment?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lphaLcParenR"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can we conclude on the relationship between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future value (FV)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the interest rate?</a:t>
          </a:r>
          <a:endParaRPr lang="en-GB" sz="11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effectLst/>
          </a:endParaRPr>
        </a:p>
        <a:p>
          <a:endParaRPr lang="en-GB" sz="1100">
            <a:effectLst/>
          </a:endParaRPr>
        </a:p>
      </xdr:txBody>
    </xdr:sp>
    <xdr:clientData/>
  </xdr:twoCellAnchor>
  <xdr:twoCellAnchor>
    <xdr:from>
      <xdr:col>6</xdr:col>
      <xdr:colOff>622789</xdr:colOff>
      <xdr:row>41</xdr:row>
      <xdr:rowOff>67163</xdr:rowOff>
    </xdr:from>
    <xdr:to>
      <xdr:col>10</xdr:col>
      <xdr:colOff>30529</xdr:colOff>
      <xdr:row>44</xdr:row>
      <xdr:rowOff>18317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4C7D6F-3958-4701-A1E5-0B87E72AB998}"/>
            </a:ext>
          </a:extLst>
        </xdr:cNvPr>
        <xdr:cNvSpPr txBox="1"/>
      </xdr:nvSpPr>
      <xdr:spPr>
        <a:xfrm>
          <a:off x="5855433" y="7577259"/>
          <a:ext cx="2155336" cy="5006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We</a:t>
          </a:r>
          <a:r>
            <a:rPr lang="en-GB" sz="1100" baseline="0"/>
            <a:t> see how timing is important in finance!</a:t>
          </a:r>
          <a:endParaRPr lang="en-GB" sz="1100"/>
        </a:p>
      </xdr:txBody>
    </xdr:sp>
    <xdr:clientData/>
  </xdr:twoCellAnchor>
  <xdr:twoCellAnchor>
    <xdr:from>
      <xdr:col>1</xdr:col>
      <xdr:colOff>506779</xdr:colOff>
      <xdr:row>44</xdr:row>
      <xdr:rowOff>67164</xdr:rowOff>
    </xdr:from>
    <xdr:to>
      <xdr:col>7</xdr:col>
      <xdr:colOff>288637</xdr:colOff>
      <xdr:row>46</xdr:row>
      <xdr:rowOff>173181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4BF140-FCD5-4BB2-9422-5ECD5DC4BB8A}"/>
            </a:ext>
          </a:extLst>
        </xdr:cNvPr>
        <xdr:cNvSpPr txBox="1"/>
      </xdr:nvSpPr>
      <xdr:spPr>
        <a:xfrm>
          <a:off x="1118688" y="8195164"/>
          <a:ext cx="5196676" cy="4754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rabicPeriod"/>
          </a:pPr>
          <a:r>
            <a:rPr lang="en-GB" sz="1100"/>
            <a:t>Future</a:t>
          </a:r>
          <a:r>
            <a:rPr lang="en-GB" sz="1100" baseline="0"/>
            <a:t> value (FV) increases with time</a:t>
          </a:r>
        </a:p>
        <a:p>
          <a:pPr marL="228600" indent="-228600">
            <a:buFont typeface="+mj-lt"/>
            <a:buAutoNum type="arabicPeriod"/>
          </a:pPr>
          <a:r>
            <a:rPr lang="en-GB" sz="1100" baseline="0"/>
            <a:t>It is extremely important to define when the interest rate will be received</a:t>
          </a:r>
          <a:endParaRPr lang="en-GB" sz="1100"/>
        </a:p>
      </xdr:txBody>
    </xdr:sp>
    <xdr:clientData/>
  </xdr:twoCellAnchor>
  <xdr:twoCellAnchor>
    <xdr:from>
      <xdr:col>2</xdr:col>
      <xdr:colOff>18317</xdr:colOff>
      <xdr:row>52</xdr:row>
      <xdr:rowOff>85481</xdr:rowOff>
    </xdr:from>
    <xdr:to>
      <xdr:col>4</xdr:col>
      <xdr:colOff>177067</xdr:colOff>
      <xdr:row>54</xdr:row>
      <xdr:rowOff>177067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45C8748-61BE-4CD7-A015-6804EB93E10A}"/>
            </a:ext>
          </a:extLst>
        </xdr:cNvPr>
        <xdr:cNvSpPr txBox="1"/>
      </xdr:nvSpPr>
      <xdr:spPr>
        <a:xfrm>
          <a:off x="1239471" y="9610481"/>
          <a:ext cx="2558317" cy="4579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Lower interest</a:t>
          </a:r>
          <a:r>
            <a:rPr lang="en-GB" sz="1100" baseline="0"/>
            <a:t> rate (r) → less risky operation → less money</a:t>
          </a:r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76200</xdr:rowOff>
    </xdr:from>
    <xdr:to>
      <xdr:col>9</xdr:col>
      <xdr:colOff>578734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195729-DD76-4772-8563-6C85BE73BD8A}"/>
            </a:ext>
          </a:extLst>
        </xdr:cNvPr>
        <xdr:cNvSpPr txBox="1"/>
      </xdr:nvSpPr>
      <xdr:spPr>
        <a:xfrm>
          <a:off x="31750" y="76200"/>
          <a:ext cx="7194389" cy="8481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have 1000 NOK that you want to invest them in a saving program. What would be the best option: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 NOK that pay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10% the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first two years, 8% the third and fourth year, and 5% the fifth year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 NOK that  pay you 7% each of the five years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 NOK that pay you 5% the first year, 7% the second year, and 9% the last three years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95250</xdr:rowOff>
    </xdr:from>
    <xdr:to>
      <xdr:col>9</xdr:col>
      <xdr:colOff>95250</xdr:colOff>
      <xdr:row>6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2D05B4-6714-45D6-9FE3-2CC1C56F8943}"/>
            </a:ext>
          </a:extLst>
        </xdr:cNvPr>
        <xdr:cNvSpPr txBox="1"/>
      </xdr:nvSpPr>
      <xdr:spPr>
        <a:xfrm>
          <a:off x="19050" y="95250"/>
          <a:ext cx="7327900" cy="1035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Two</a:t>
          </a:r>
          <a:r>
            <a:rPr lang="en-GB" sz="1100" baseline="0"/>
            <a:t> options are provided for you,</a:t>
          </a:r>
        </a:p>
        <a:p>
          <a:pPr marL="285750" indent="-285750">
            <a:buFont typeface="+mj-lt"/>
            <a:buAutoNum type="romanUcPeriod"/>
          </a:pPr>
          <a:r>
            <a:rPr lang="en-GB" sz="1100" baseline="0"/>
            <a:t>Keep 8,000 NOK </a:t>
          </a:r>
        </a:p>
        <a:p>
          <a:pPr marL="285750" indent="-285750">
            <a:buFont typeface="+mj-lt"/>
            <a:buAutoNum type="romanUcPeriod"/>
          </a:pPr>
          <a:r>
            <a:rPr lang="en-GB" sz="1100" baseline="0"/>
            <a:t>Invest the 8,000 NOK in a business that will pay you 100,000 NOK every year for 10 years with an interest rate of 5%</a:t>
          </a:r>
        </a:p>
        <a:p>
          <a:endParaRPr lang="en-GB" sz="1100" baseline="0"/>
        </a:p>
        <a:p>
          <a:r>
            <a:rPr lang="en-GB" sz="1100" baseline="0"/>
            <a:t>Will you keep the money or invest in the business?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8B69-37EB-4FF8-BEA1-819018413E08}">
  <dimension ref="A1:C11"/>
  <sheetViews>
    <sheetView workbookViewId="0">
      <selection activeCell="B11" sqref="B11"/>
    </sheetView>
  </sheetViews>
  <sheetFormatPr defaultRowHeight="15" x14ac:dyDescent="0.25"/>
  <cols>
    <col min="1" max="1" width="28.85546875" bestFit="1" customWidth="1"/>
    <col min="2" max="2" width="21.42578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s="1">
        <v>-2000</v>
      </c>
      <c r="B2" t="s">
        <v>2</v>
      </c>
    </row>
    <row r="3" spans="1:3" x14ac:dyDescent="0.25">
      <c r="A3" s="2">
        <v>0.03</v>
      </c>
      <c r="B3" t="s">
        <v>3</v>
      </c>
    </row>
    <row r="4" spans="1:3" x14ac:dyDescent="0.25">
      <c r="A4">
        <v>1</v>
      </c>
      <c r="B4" t="s">
        <v>19</v>
      </c>
    </row>
    <row r="5" spans="1:3" x14ac:dyDescent="0.25">
      <c r="A5" s="4">
        <v>-2200</v>
      </c>
      <c r="B5" t="s">
        <v>4</v>
      </c>
    </row>
    <row r="6" spans="1:3" x14ac:dyDescent="0.25">
      <c r="A6" t="s">
        <v>0</v>
      </c>
      <c r="B6" t="s">
        <v>5</v>
      </c>
      <c r="C6" t="s">
        <v>1</v>
      </c>
    </row>
    <row r="7" spans="1:3" x14ac:dyDescent="0.25">
      <c r="A7" s="4">
        <f>A5/(1+A3)^A4</f>
        <v>-2135.9223300970875</v>
      </c>
      <c r="B7" t="s">
        <v>20</v>
      </c>
      <c r="C7" t="s">
        <v>6</v>
      </c>
    </row>
    <row r="8" spans="1:3" x14ac:dyDescent="0.25">
      <c r="A8" s="3">
        <f>PV(A3,A4,0,A5,0)</f>
        <v>2135.9223300970875</v>
      </c>
    </row>
    <row r="9" spans="1:3" x14ac:dyDescent="0.25">
      <c r="A9" s="5">
        <f>A2*(1+A3)^A4</f>
        <v>-2060</v>
      </c>
      <c r="B9" t="s">
        <v>21</v>
      </c>
      <c r="C9" t="s">
        <v>7</v>
      </c>
    </row>
    <row r="10" spans="1:3" x14ac:dyDescent="0.25">
      <c r="A10" s="4">
        <f>FV(A3,A4,,A2)</f>
        <v>2060</v>
      </c>
    </row>
    <row r="11" spans="1:3" x14ac:dyDescent="0.25">
      <c r="A11" t="s">
        <v>40</v>
      </c>
      <c r="B11" t="str">
        <f>IF(A8&gt;A9,"Yes","No")</f>
        <v>Yes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6286-4341-42DF-A40D-57C70AEFD432}">
  <dimension ref="B9:F24"/>
  <sheetViews>
    <sheetView zoomScale="96" workbookViewId="0">
      <selection activeCell="H33" sqref="H33"/>
    </sheetView>
  </sheetViews>
  <sheetFormatPr defaultRowHeight="15" x14ac:dyDescent="0.25"/>
  <cols>
    <col min="3" max="3" width="11.7109375" bestFit="1" customWidth="1"/>
    <col min="4" max="4" width="23.140625" bestFit="1" customWidth="1"/>
    <col min="5" max="5" width="10.140625" bestFit="1" customWidth="1"/>
    <col min="6" max="6" width="12.85546875" bestFit="1" customWidth="1"/>
  </cols>
  <sheetData>
    <row r="9" spans="2:6" x14ac:dyDescent="0.25">
      <c r="B9" t="s">
        <v>8</v>
      </c>
      <c r="C9" t="s">
        <v>10</v>
      </c>
      <c r="D9" t="s">
        <v>1</v>
      </c>
      <c r="E9" t="s">
        <v>11</v>
      </c>
      <c r="F9" t="s">
        <v>13</v>
      </c>
    </row>
    <row r="10" spans="2:6" x14ac:dyDescent="0.25">
      <c r="B10" t="s">
        <v>9</v>
      </c>
      <c r="C10" t="s">
        <v>12</v>
      </c>
      <c r="D10" t="s">
        <v>2</v>
      </c>
      <c r="E10" s="7">
        <f>PV(C11,C12,,C13)</f>
        <v>-909.09090909090901</v>
      </c>
      <c r="F10" s="7">
        <f>-C13/(1+C11)^C12</f>
        <v>-909.09090909090901</v>
      </c>
    </row>
    <row r="11" spans="2:6" x14ac:dyDescent="0.25">
      <c r="C11" s="2">
        <v>0.1</v>
      </c>
      <c r="D11" t="s">
        <v>3</v>
      </c>
    </row>
    <row r="12" spans="2:6" x14ac:dyDescent="0.25">
      <c r="C12">
        <v>1</v>
      </c>
      <c r="D12" t="s">
        <v>19</v>
      </c>
    </row>
    <row r="13" spans="2:6" x14ac:dyDescent="0.25">
      <c r="C13" s="6">
        <v>1000</v>
      </c>
      <c r="D13" t="s">
        <v>4</v>
      </c>
    </row>
    <row r="14" spans="2:6" x14ac:dyDescent="0.25">
      <c r="B14" t="s">
        <v>14</v>
      </c>
      <c r="C14" t="s">
        <v>12</v>
      </c>
      <c r="D14" t="s">
        <v>2</v>
      </c>
      <c r="E14" s="7">
        <f>PV(C15,C16,,C17)</f>
        <v>-826.44628099173542</v>
      </c>
      <c r="F14" s="7">
        <f>-C17/(1+C15)^C16</f>
        <v>-826.44628099173542</v>
      </c>
    </row>
    <row r="15" spans="2:6" x14ac:dyDescent="0.25">
      <c r="C15" s="2">
        <v>0.1</v>
      </c>
      <c r="D15" t="s">
        <v>3</v>
      </c>
    </row>
    <row r="16" spans="2:6" x14ac:dyDescent="0.25">
      <c r="C16">
        <v>2</v>
      </c>
      <c r="D16" t="s">
        <v>19</v>
      </c>
    </row>
    <row r="17" spans="2:6" x14ac:dyDescent="0.25">
      <c r="C17" s="6">
        <v>1000</v>
      </c>
      <c r="D17" t="s">
        <v>4</v>
      </c>
    </row>
    <row r="18" spans="2:6" x14ac:dyDescent="0.25">
      <c r="B18" t="s">
        <v>15</v>
      </c>
    </row>
    <row r="20" spans="2:6" x14ac:dyDescent="0.25">
      <c r="B20" t="s">
        <v>16</v>
      </c>
      <c r="C20" t="s">
        <v>12</v>
      </c>
      <c r="D20" t="s">
        <v>2</v>
      </c>
      <c r="E20" s="7">
        <f>PV(C21,C22,,C23)</f>
        <v>-925.92592592592587</v>
      </c>
      <c r="F20" s="7">
        <f>-C23/(1+C21)^C22</f>
        <v>-925.92592592592587</v>
      </c>
    </row>
    <row r="21" spans="2:6" x14ac:dyDescent="0.25">
      <c r="C21" s="2">
        <v>0.08</v>
      </c>
      <c r="D21" t="s">
        <v>3</v>
      </c>
    </row>
    <row r="22" spans="2:6" x14ac:dyDescent="0.25">
      <c r="C22">
        <v>1</v>
      </c>
      <c r="D22" t="s">
        <v>19</v>
      </c>
    </row>
    <row r="23" spans="2:6" x14ac:dyDescent="0.25">
      <c r="C23" s="6">
        <v>1000</v>
      </c>
      <c r="D23" t="s">
        <v>4</v>
      </c>
    </row>
    <row r="24" spans="2:6" x14ac:dyDescent="0.25">
      <c r="B24" t="s">
        <v>17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6379-926D-41AD-89DF-A29C89B7089E}">
  <dimension ref="B23:L53"/>
  <sheetViews>
    <sheetView topLeftCell="A13" zoomScaleNormal="100" workbookViewId="0">
      <selection activeCell="R61" sqref="R61"/>
    </sheetView>
  </sheetViews>
  <sheetFormatPr defaultRowHeight="15" x14ac:dyDescent="0.25"/>
  <cols>
    <col min="3" max="3" width="11.7109375" bestFit="1" customWidth="1"/>
    <col min="4" max="4" width="23.140625" bestFit="1" customWidth="1"/>
    <col min="5" max="5" width="11.7109375" style="7" bestFit="1" customWidth="1"/>
    <col min="6" max="6" width="11.85546875" style="7" bestFit="1" customWidth="1"/>
    <col min="7" max="7" width="11.140625" bestFit="1" customWidth="1"/>
    <col min="9" max="10" width="9.7109375" bestFit="1" customWidth="1"/>
    <col min="11" max="11" width="24.85546875" bestFit="1" customWidth="1"/>
    <col min="12" max="13" width="11.140625" bestFit="1" customWidth="1"/>
  </cols>
  <sheetData>
    <row r="23" spans="2:6" x14ac:dyDescent="0.25">
      <c r="B23" t="s">
        <v>8</v>
      </c>
      <c r="C23" t="s">
        <v>10</v>
      </c>
      <c r="D23" t="s">
        <v>1</v>
      </c>
      <c r="E23" s="7" t="s">
        <v>11</v>
      </c>
      <c r="F23" s="7" t="s">
        <v>13</v>
      </c>
    </row>
    <row r="24" spans="2:6" x14ac:dyDescent="0.25">
      <c r="B24" t="s">
        <v>9</v>
      </c>
      <c r="C24" s="7">
        <v>-1000</v>
      </c>
      <c r="D24" t="s">
        <v>18</v>
      </c>
    </row>
    <row r="25" spans="2:6" x14ac:dyDescent="0.25">
      <c r="C25" s="2">
        <v>0.1</v>
      </c>
      <c r="D25" t="s">
        <v>3</v>
      </c>
    </row>
    <row r="26" spans="2:6" x14ac:dyDescent="0.25">
      <c r="C26">
        <v>1</v>
      </c>
      <c r="D26" t="s">
        <v>19</v>
      </c>
    </row>
    <row r="27" spans="2:6" x14ac:dyDescent="0.25">
      <c r="C27" s="6" t="s">
        <v>12</v>
      </c>
      <c r="D27" t="s">
        <v>4</v>
      </c>
      <c r="E27" s="7">
        <f>FV(C25,C26,,C24)</f>
        <v>1100</v>
      </c>
      <c r="F27" s="7">
        <f>-C24*(1+C25)^C26</f>
        <v>1100</v>
      </c>
    </row>
    <row r="28" spans="2:6" x14ac:dyDescent="0.25">
      <c r="B28" t="s">
        <v>14</v>
      </c>
      <c r="C28" s="7">
        <v>-1000</v>
      </c>
      <c r="D28" t="s">
        <v>18</v>
      </c>
    </row>
    <row r="29" spans="2:6" x14ac:dyDescent="0.25">
      <c r="C29" s="2">
        <v>0.1</v>
      </c>
      <c r="D29" t="s">
        <v>3</v>
      </c>
    </row>
    <row r="30" spans="2:6" x14ac:dyDescent="0.25">
      <c r="C30">
        <v>2</v>
      </c>
      <c r="D30" t="s">
        <v>19</v>
      </c>
    </row>
    <row r="31" spans="2:6" x14ac:dyDescent="0.25">
      <c r="C31" s="6" t="s">
        <v>12</v>
      </c>
      <c r="D31" t="s">
        <v>4</v>
      </c>
      <c r="E31" s="7">
        <f>FV(C29,C30,,C28)</f>
        <v>1210.0000000000002</v>
      </c>
      <c r="F31" s="7">
        <f>-C28*(1+C29)^C30</f>
        <v>1210.0000000000002</v>
      </c>
    </row>
    <row r="32" spans="2:6" x14ac:dyDescent="0.25">
      <c r="B32" t="s">
        <v>15</v>
      </c>
      <c r="C32" s="7">
        <v>-1000</v>
      </c>
      <c r="D32" t="s">
        <v>18</v>
      </c>
    </row>
    <row r="33" spans="2:12" x14ac:dyDescent="0.25">
      <c r="C33" s="2">
        <v>0.1</v>
      </c>
      <c r="D33" t="s">
        <v>3</v>
      </c>
    </row>
    <row r="34" spans="2:12" x14ac:dyDescent="0.25">
      <c r="C34">
        <v>2</v>
      </c>
      <c r="D34" t="s">
        <v>19</v>
      </c>
    </row>
    <row r="35" spans="2:12" x14ac:dyDescent="0.25">
      <c r="C35">
        <v>0</v>
      </c>
      <c r="D35" t="s">
        <v>22</v>
      </c>
      <c r="L35" s="7"/>
    </row>
    <row r="36" spans="2:12" x14ac:dyDescent="0.25">
      <c r="C36" s="6" t="s">
        <v>12</v>
      </c>
      <c r="D36" t="s">
        <v>4</v>
      </c>
      <c r="E36" s="7">
        <f>FV(C33,C34,C32,C35,0)</f>
        <v>2100.0000000000018</v>
      </c>
      <c r="F36" s="7">
        <f>-((C32*(1+C33)^1 )+ (C32*(1+C33)^0))</f>
        <v>2100</v>
      </c>
      <c r="I36" s="7"/>
      <c r="L36" s="7"/>
    </row>
    <row r="37" spans="2:12" x14ac:dyDescent="0.25">
      <c r="L37" s="7"/>
    </row>
    <row r="39" spans="2:12" x14ac:dyDescent="0.25">
      <c r="B39" t="s">
        <v>16</v>
      </c>
      <c r="C39" s="7">
        <v>-1000</v>
      </c>
      <c r="D39" t="s">
        <v>18</v>
      </c>
      <c r="G39" s="7"/>
    </row>
    <row r="40" spans="2:12" x14ac:dyDescent="0.25">
      <c r="C40" s="2">
        <v>0.1</v>
      </c>
      <c r="D40" t="s">
        <v>3</v>
      </c>
      <c r="G40" s="7"/>
    </row>
    <row r="41" spans="2:12" x14ac:dyDescent="0.25">
      <c r="C41">
        <v>2</v>
      </c>
      <c r="D41" t="s">
        <v>19</v>
      </c>
      <c r="G41" s="7"/>
    </row>
    <row r="42" spans="2:12" x14ac:dyDescent="0.25">
      <c r="C42">
        <v>0</v>
      </c>
      <c r="D42" t="s">
        <v>22</v>
      </c>
      <c r="G42" s="7"/>
      <c r="L42" s="7"/>
    </row>
    <row r="43" spans="2:12" x14ac:dyDescent="0.25">
      <c r="C43" s="6" t="s">
        <v>12</v>
      </c>
      <c r="D43" t="s">
        <v>4</v>
      </c>
      <c r="E43" s="7">
        <f>FV(C40,C41,C39,C42,1)</f>
        <v>2310.0000000000023</v>
      </c>
      <c r="F43" s="7">
        <f>-((C39*(1+C40)^2 )+ (C39*(1+C40)^1))</f>
        <v>2310</v>
      </c>
      <c r="G43" s="7"/>
      <c r="J43" s="7"/>
      <c r="L43" s="7"/>
    </row>
    <row r="44" spans="2:12" x14ac:dyDescent="0.25">
      <c r="E44"/>
      <c r="G44" s="7"/>
      <c r="L44" s="7"/>
    </row>
    <row r="46" spans="2:12" x14ac:dyDescent="0.25">
      <c r="B46" t="s">
        <v>17</v>
      </c>
    </row>
    <row r="49" spans="2:6" x14ac:dyDescent="0.25">
      <c r="B49" t="s">
        <v>23</v>
      </c>
      <c r="C49" s="7">
        <v>-1000</v>
      </c>
      <c r="D49" t="s">
        <v>18</v>
      </c>
    </row>
    <row r="50" spans="2:6" x14ac:dyDescent="0.25">
      <c r="C50" s="2">
        <v>0.08</v>
      </c>
      <c r="D50" t="s">
        <v>3</v>
      </c>
    </row>
    <row r="51" spans="2:6" x14ac:dyDescent="0.25">
      <c r="C51">
        <v>1</v>
      </c>
      <c r="D51" t="s">
        <v>19</v>
      </c>
    </row>
    <row r="52" spans="2:6" x14ac:dyDescent="0.25">
      <c r="C52" s="6" t="s">
        <v>12</v>
      </c>
      <c r="D52" t="s">
        <v>4</v>
      </c>
      <c r="E52" s="7">
        <f>FV(C50,C51,,C49)</f>
        <v>1080</v>
      </c>
      <c r="F52" s="7">
        <f>-C49*(1+C50)^C51</f>
        <v>1080</v>
      </c>
    </row>
    <row r="53" spans="2:6" x14ac:dyDescent="0.25">
      <c r="B53" t="s">
        <v>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FF99-2485-4735-8808-462F4D7D114C}">
  <dimension ref="A9:J27"/>
  <sheetViews>
    <sheetView tabSelected="1" zoomScale="79" workbookViewId="0">
      <selection activeCell="J20" sqref="J20"/>
    </sheetView>
  </sheetViews>
  <sheetFormatPr defaultRowHeight="15" x14ac:dyDescent="0.25"/>
  <cols>
    <col min="2" max="2" width="15.28515625" style="7" bestFit="1" customWidth="1"/>
    <col min="4" max="4" width="14" style="2" bestFit="1" customWidth="1"/>
    <col min="7" max="7" width="12.5703125" style="7" bestFit="1" customWidth="1"/>
    <col min="8" max="8" width="15" bestFit="1" customWidth="1"/>
    <col min="9" max="9" width="11.42578125" bestFit="1" customWidth="1"/>
    <col min="10" max="10" width="12.5703125" bestFit="1" customWidth="1"/>
  </cols>
  <sheetData>
    <row r="9" spans="1:9" x14ac:dyDescent="0.25">
      <c r="B9" s="7" t="s">
        <v>25</v>
      </c>
      <c r="C9" t="s">
        <v>26</v>
      </c>
      <c r="D9" s="2" t="s">
        <v>27</v>
      </c>
      <c r="G9" s="7" t="s">
        <v>30</v>
      </c>
      <c r="H9" t="s">
        <v>31</v>
      </c>
    </row>
    <row r="10" spans="1:9" x14ac:dyDescent="0.25">
      <c r="A10" s="11" t="s">
        <v>28</v>
      </c>
      <c r="B10" s="7">
        <v>1000</v>
      </c>
      <c r="C10">
        <v>1</v>
      </c>
      <c r="D10" s="2">
        <v>0.1</v>
      </c>
      <c r="F10" t="s">
        <v>29</v>
      </c>
      <c r="G10" s="7">
        <f>FVSCHEDULE(B10,D10:D14)</f>
        <v>1481.9112000000005</v>
      </c>
      <c r="H10" s="7">
        <f>B10*(1+D10)^(COUNTIF(D10:D14,D10))*(1+D12)^COUNTIF(D10:D14,D12)*(1+D14)^COUNTIF(D10:D14,D14)</f>
        <v>1481.9112000000005</v>
      </c>
      <c r="I10" s="7"/>
    </row>
    <row r="11" spans="1:9" x14ac:dyDescent="0.25">
      <c r="C11">
        <v>2</v>
      </c>
      <c r="D11" s="2">
        <v>0.1</v>
      </c>
    </row>
    <row r="12" spans="1:9" x14ac:dyDescent="0.25">
      <c r="C12">
        <v>3</v>
      </c>
      <c r="D12" s="2">
        <v>0.08</v>
      </c>
    </row>
    <row r="13" spans="1:9" x14ac:dyDescent="0.25">
      <c r="C13">
        <v>4</v>
      </c>
      <c r="D13" s="2">
        <v>0.08</v>
      </c>
    </row>
    <row r="14" spans="1:9" x14ac:dyDescent="0.25">
      <c r="C14">
        <v>5</v>
      </c>
      <c r="D14" s="2">
        <v>0.05</v>
      </c>
    </row>
    <row r="15" spans="1:9" x14ac:dyDescent="0.25">
      <c r="A15" s="11" t="s">
        <v>32</v>
      </c>
      <c r="B15" s="7">
        <v>1000</v>
      </c>
      <c r="C15">
        <v>1</v>
      </c>
      <c r="D15" s="2">
        <v>7.0000000000000007E-2</v>
      </c>
      <c r="F15" t="s">
        <v>29</v>
      </c>
      <c r="G15" s="7">
        <f>FVSCHEDULE(B15,D15:D19)</f>
        <v>1402.5517307000005</v>
      </c>
      <c r="H15" s="7">
        <f>B15*(1+D15)^(COUNTIF(D15:D19,D15))</f>
        <v>1402.5517307000002</v>
      </c>
    </row>
    <row r="16" spans="1:9" x14ac:dyDescent="0.25">
      <c r="C16">
        <v>2</v>
      </c>
      <c r="D16" s="2">
        <v>7.0000000000000007E-2</v>
      </c>
    </row>
    <row r="17" spans="1:10" x14ac:dyDescent="0.25">
      <c r="C17">
        <v>3</v>
      </c>
      <c r="D17" s="2">
        <v>7.0000000000000007E-2</v>
      </c>
    </row>
    <row r="18" spans="1:10" x14ac:dyDescent="0.25">
      <c r="C18">
        <v>4</v>
      </c>
      <c r="D18" s="2">
        <v>7.0000000000000007E-2</v>
      </c>
    </row>
    <row r="19" spans="1:10" x14ac:dyDescent="0.25">
      <c r="C19">
        <v>5</v>
      </c>
      <c r="D19" s="2">
        <v>7.0000000000000007E-2</v>
      </c>
    </row>
    <row r="20" spans="1:10" x14ac:dyDescent="0.25">
      <c r="A20" s="11" t="s">
        <v>33</v>
      </c>
      <c r="B20" s="7">
        <v>1000</v>
      </c>
      <c r="C20">
        <v>1</v>
      </c>
      <c r="D20" s="2">
        <v>0.05</v>
      </c>
      <c r="F20" t="s">
        <v>29</v>
      </c>
      <c r="G20" s="7">
        <f>FVSCHEDULE(B20,D20:D24)</f>
        <v>1454.9650815000002</v>
      </c>
      <c r="H20" s="7">
        <f>B20*(1+D20)^(COUNTIF(D20:D24,D20))*(1+D21)^COUNTIF(D20:D24,D21)*(1+D22)^COUNTIF(D20:D24,D22)</f>
        <v>1454.9650815000002</v>
      </c>
      <c r="I20">
        <f>IF(MATCH(D20,D20:D24,0)=ROW(),COUNTIF(D20:D24,D20),0)</f>
        <v>0</v>
      </c>
      <c r="J20" s="7">
        <f>B20*(1+D20)^IF(MATCH(D20,D10:D24,0)=ROW(),COUNTIF(D10:D24,D20),0)*(1+D21)^IF(MATCH(D21,D10:D24,0)=ROW(),COUNTIF(D10:D24,D21),0)*(1+D22)*IF(MATCH(D22,D10:D24,0)=ROW(),COUNTIF(D10:D24,D22),0)*(1+D23)^IF(MATCH(D23,D10:D24,0)=ROW(),COUNTIF(D10:D24,D23),0)*(1+D24)^IF(MATCH(D24,D10:D24,0)=ROW(),COUNTIF(D10:D24,D24),0)</f>
        <v>0</v>
      </c>
    </row>
    <row r="21" spans="1:10" x14ac:dyDescent="0.25">
      <c r="C21">
        <v>2</v>
      </c>
      <c r="D21" s="2">
        <v>7.0000000000000007E-2</v>
      </c>
    </row>
    <row r="22" spans="1:10" x14ac:dyDescent="0.25">
      <c r="C22">
        <v>3</v>
      </c>
      <c r="D22" s="2">
        <v>0.09</v>
      </c>
    </row>
    <row r="23" spans="1:10" x14ac:dyDescent="0.25">
      <c r="C23">
        <v>4</v>
      </c>
      <c r="D23" s="2">
        <v>0.09</v>
      </c>
    </row>
    <row r="24" spans="1:10" x14ac:dyDescent="0.25">
      <c r="C24">
        <v>5</v>
      </c>
      <c r="D24" s="2">
        <v>0.09</v>
      </c>
    </row>
    <row r="27" spans="1:10" x14ac:dyDescent="0.25">
      <c r="B27" s="7" t="s">
        <v>34</v>
      </c>
      <c r="C27">
        <f>MAX(G10,G15,G20)</f>
        <v>1481.9112000000005</v>
      </c>
      <c r="D27" s="9" t="str">
        <f>LOOKUP(C27,G10:G20,A10:A20)</f>
        <v>case 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91F6-75C7-4E46-804D-C0C7A87AB342}">
  <dimension ref="B10:F13"/>
  <sheetViews>
    <sheetView workbookViewId="0">
      <selection activeCell="F11" sqref="F11"/>
    </sheetView>
  </sheetViews>
  <sheetFormatPr defaultRowHeight="15" x14ac:dyDescent="0.25"/>
  <cols>
    <col min="2" max="2" width="14" style="10" bestFit="1" customWidth="1"/>
    <col min="3" max="3" width="13.85546875" style="8" bestFit="1" customWidth="1"/>
    <col min="5" max="5" width="21.42578125" bestFit="1" customWidth="1"/>
    <col min="6" max="6" width="13.85546875" bestFit="1" customWidth="1"/>
  </cols>
  <sheetData>
    <row r="10" spans="2:6" x14ac:dyDescent="0.25">
      <c r="B10" s="10" t="s">
        <v>38</v>
      </c>
      <c r="C10" s="7">
        <v>100000</v>
      </c>
    </row>
    <row r="11" spans="2:6" x14ac:dyDescent="0.25">
      <c r="B11" s="10" t="s">
        <v>35</v>
      </c>
      <c r="C11" s="7">
        <v>800000</v>
      </c>
      <c r="E11" t="s">
        <v>36</v>
      </c>
      <c r="F11" s="7">
        <f>-PV(C12,C13,C10)</f>
        <v>772173.49291848124</v>
      </c>
    </row>
    <row r="12" spans="2:6" x14ac:dyDescent="0.25">
      <c r="B12" s="10" t="s">
        <v>27</v>
      </c>
      <c r="C12" s="2">
        <v>0.05</v>
      </c>
    </row>
    <row r="13" spans="2:6" x14ac:dyDescent="0.25">
      <c r="B13" s="10" t="s">
        <v>37</v>
      </c>
      <c r="C13" s="10">
        <v>10</v>
      </c>
      <c r="E13" t="s">
        <v>39</v>
      </c>
      <c r="F13" t="str">
        <f>IF(F11&gt;C11, "Yes", "No")</f>
        <v>No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Theory</vt:lpstr>
      <vt:lpstr>Ex.1 (PV)</vt:lpstr>
      <vt:lpstr>Ex.2 (FV)</vt:lpstr>
      <vt:lpstr>Ex.3</vt:lpstr>
      <vt:lpstr>Ex.4</vt:lpstr>
    </vt:vector>
  </TitlesOfParts>
  <Manager/>
  <Company>Molde University College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 Mattia Alessandro</dc:creator>
  <cp:keywords/>
  <dc:description/>
  <cp:lastModifiedBy>Di Mattia Alessandro Edoardo Giorgio David</cp:lastModifiedBy>
  <cp:revision/>
  <dcterms:created xsi:type="dcterms:W3CDTF">2021-11-08T14:01:26Z</dcterms:created>
  <dcterms:modified xsi:type="dcterms:W3CDTF">2021-11-15T11:02:32Z</dcterms:modified>
  <cp:category/>
  <cp:contentStatus/>
</cp:coreProperties>
</file>